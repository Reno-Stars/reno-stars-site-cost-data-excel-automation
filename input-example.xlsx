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5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<sst xmlns="http://schemas.openxmlformats.org/spreadsheetml/2006/main" count="62" uniqueCount="32">
  <si>
    <t>Name</t>
  </si>
  <si>
    <t>$/hr</t>
  </si>
  <si>
    <t>Address</t>
  </si>
  <si>
    <t>Hours</t>
  </si>
  <si>
    <t>Salary$</t>
  </si>
  <si>
    <t>Material$</t>
  </si>
  <si>
    <t>Gas$</t>
  </si>
  <si>
    <t>Ticket</t>
  </si>
  <si>
    <t>Total$</t>
  </si>
  <si>
    <t>Shui Han Zhao (Peter)</t>
  </si>
  <si>
    <t>赵师傅</t>
  </si>
  <si>
    <t>Total</t>
  </si>
  <si>
    <t xml:space="preserve">Jacky </t>
  </si>
  <si>
    <t>5793</t>
  </si>
  <si>
    <t>1171</t>
  </si>
  <si>
    <t>3825</t>
  </si>
  <si>
    <t>4191</t>
  </si>
  <si>
    <t>6991</t>
  </si>
  <si>
    <t>7180</t>
  </si>
  <si>
    <t>华</t>
  </si>
  <si>
    <t>7500</t>
  </si>
  <si>
    <t>12051</t>
  </si>
  <si>
    <t>7217</t>
  </si>
  <si>
    <t>Parking$</t>
  </si>
  <si>
    <t>小王 (Pino) 1-30</t>
  </si>
  <si>
    <t>Jason</t>
  </si>
  <si>
    <t>9000</t>
  </si>
  <si>
    <t>6377</t>
  </si>
  <si>
    <t>阿俊</t>
  </si>
  <si>
    <t>国</t>
  </si>
  <si>
    <t>祥</t>
  </si>
  <si>
    <t>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</si>
</sst>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_(&quot;$&quot;* #,##0.00_);_(&quot;$&quot;* \(#,##0.00\);_(&quot;$&quot;* &quot;-&quot;??_);_(@_)"/>
    <numFmt numFmtId="177" formatCode="dd\-mmm"/>
    <numFmt numFmtId="178" formatCode="_-&quot;$&quot;* #,##0.00_-;\-&quot;$&quot;* #,##0.00_-;_-&quot;$&quot;* &quot;-&quot;??_-;_-@_-"/>
    <numFmt numFmtId="179" formatCode="h:mm;@"/>
  </numFmts>
  <fonts count="3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2"/>
      <color rgb="FF9C0006"/>
      <name val="Calibri"/>
      <charset val="134"/>
      <scheme val="minor"/>
    </font>
    <font>
      <sz val="1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0"/>
      <color rgb="FF006100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242424"/>
      <name val="Aptos Narro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7993408001953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3" applyNumberFormat="0" applyAlignment="0" applyProtection="0">
      <alignment vertical="center"/>
    </xf>
    <xf numFmtId="0" fontId="23" fillId="6" borderId="14" applyNumberFormat="0" applyAlignment="0" applyProtection="0">
      <alignment vertical="center"/>
    </xf>
    <xf numFmtId="0" fontId="24" fillId="6" borderId="13" applyNumberFormat="0" applyAlignment="0" applyProtection="0">
      <alignment vertical="center"/>
    </xf>
    <xf numFmtId="0" fontId="25" fillId="7" borderId="15" applyNumberFormat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6" fillId="3" borderId="0" applyNumberFormat="0" applyBorder="0" applyAlignment="0" applyProtection="0"/>
  </cellStyleXfs>
  <cellXfs count="156">
    <xf numFmtId="0" fontId="0" fillId="0" borderId="0" xfId="0">
      <alignment vertical="center"/>
    </xf>
    <xf numFmtId="0" fontId="1" fillId="0" borderId="0" xfId="49" applyFont="1"/>
    <xf numFmtId="0" fontId="2" fillId="0" borderId="0" xfId="49" applyFont="1"/>
    <xf numFmtId="0" fontId="3" fillId="0" borderId="0" xfId="49"/>
    <xf numFmtId="0" fontId="4" fillId="0" borderId="0" xfId="49" applyFont="1"/>
    <xf numFmtId="49" fontId="4" fillId="0" borderId="0" xfId="49" applyNumberFormat="1" applyFont="1" applyAlignment="1">
      <alignment horizontal="left"/>
    </xf>
    <xf numFmtId="176" fontId="4" fillId="0" borderId="0" xfId="49" applyNumberFormat="1" applyFont="1" applyAlignment="1">
      <alignment horizontal="left"/>
    </xf>
    <xf numFmtId="0" fontId="4" fillId="0" borderId="0" xfId="49" applyFont="1" applyAlignment="1">
      <alignment horizontal="left"/>
    </xf>
    <xf numFmtId="176" fontId="4" fillId="0" borderId="0" xfId="49" applyNumberFormat="1" applyFont="1" applyAlignment="1">
      <alignment horizontal="center"/>
    </xf>
    <xf numFmtId="176" fontId="4" fillId="0" borderId="0" xfId="49" applyNumberFormat="1" applyFont="1"/>
    <xf numFmtId="0" fontId="4" fillId="0" borderId="0" xfId="49" applyFont="1" applyAlignment="1">
      <alignment horizontal="center"/>
    </xf>
    <xf numFmtId="49" fontId="4" fillId="0" borderId="0" xfId="49" applyNumberFormat="1" applyFont="1" applyAlignment="1">
      <alignment horizontal="center"/>
    </xf>
    <xf numFmtId="2" fontId="3" fillId="0" borderId="0" xfId="49" applyNumberFormat="1"/>
    <xf numFmtId="4" fontId="2" fillId="0" borderId="0" xfId="49" applyNumberFormat="1" applyFont="1" applyAlignment="1">
      <alignment horizontal="left"/>
    </xf>
    <xf numFmtId="49" fontId="5" fillId="0" borderId="1" xfId="49" applyNumberFormat="1" applyFont="1" applyBorder="1" applyAlignment="1">
      <alignment horizontal="left"/>
    </xf>
    <xf numFmtId="176" fontId="5" fillId="0" borderId="2" xfId="49" applyNumberFormat="1" applyFont="1" applyBorder="1" applyAlignment="1">
      <alignment horizontal="left"/>
    </xf>
    <xf numFmtId="49" fontId="5" fillId="0" borderId="2" xfId="49" applyNumberFormat="1" applyFont="1" applyBorder="1" applyAlignment="1">
      <alignment horizontal="left"/>
    </xf>
    <xf numFmtId="49" fontId="6" fillId="0" borderId="3" xfId="51" applyNumberFormat="1" applyFill="1" applyBorder="1" applyAlignment="1">
      <alignment horizontal="left"/>
    </xf>
    <xf numFmtId="176" fontId="6" fillId="0" borderId="0" xfId="51" applyNumberFormat="1" applyFill="1" applyBorder="1" applyAlignment="1">
      <alignment horizontal="left"/>
    </xf>
    <xf numFmtId="49" fontId="6" fillId="0" borderId="0" xfId="51" applyNumberFormat="1" applyFill="1" applyBorder="1" applyAlignment="1">
      <alignment horizontal="left"/>
    </xf>
    <xf numFmtId="49" fontId="2" fillId="2" borderId="3" xfId="0" applyNumberFormat="1" applyFont="1" applyFill="1" applyBorder="1" applyAlignment="1">
      <alignment horizontal="left"/>
    </xf>
    <xf numFmtId="176" fontId="0" fillId="0" borderId="0" xfId="0" applyNumberFormat="1" applyFill="1" applyAlignment="1">
      <alignment horizontal="left"/>
    </xf>
    <xf numFmtId="49" fontId="3" fillId="0" borderId="0" xfId="49" applyNumberFormat="1" applyAlignment="1">
      <alignment horizontal="left"/>
    </xf>
    <xf numFmtId="49" fontId="2" fillId="0" borderId="3" xfId="0" applyNumberFormat="1" applyFont="1" applyFill="1" applyBorder="1" applyAlignment="1">
      <alignment horizontal="left"/>
    </xf>
    <xf numFmtId="49" fontId="6" fillId="3" borderId="1" xfId="51" applyNumberFormat="1" applyBorder="1" applyAlignment="1">
      <alignment horizontal="left"/>
    </xf>
    <xf numFmtId="176" fontId="6" fillId="3" borderId="2" xfId="51" applyNumberFormat="1" applyBorder="1" applyAlignment="1">
      <alignment horizontal="left"/>
    </xf>
    <xf numFmtId="49" fontId="6" fillId="3" borderId="2" xfId="51" applyNumberFormat="1" applyBorder="1" applyAlignment="1">
      <alignment horizontal="left"/>
    </xf>
    <xf numFmtId="49" fontId="6" fillId="0" borderId="4" xfId="51" applyNumberFormat="1" applyFill="1" applyBorder="1" applyAlignment="1">
      <alignment horizontal="left"/>
    </xf>
    <xf numFmtId="49" fontId="3" fillId="0" borderId="0" xfId="49" applyNumberFormat="1" applyFont="1" applyAlignment="1">
      <alignment horizontal="left"/>
    </xf>
    <xf numFmtId="49" fontId="7" fillId="0" borderId="3" xfId="51" applyNumberFormat="1" applyFont="1" applyFill="1" applyBorder="1" applyAlignment="1">
      <alignment horizontal="left"/>
    </xf>
    <xf numFmtId="176" fontId="7" fillId="0" borderId="0" xfId="51" applyNumberFormat="1" applyFont="1" applyFill="1" applyBorder="1" applyAlignment="1">
      <alignment horizontal="left"/>
    </xf>
    <xf numFmtId="49" fontId="7" fillId="0" borderId="0" xfId="51" applyNumberFormat="1" applyFont="1" applyFill="1" applyBorder="1" applyAlignment="1">
      <alignment horizontal="left"/>
    </xf>
    <xf numFmtId="176" fontId="7" fillId="3" borderId="2" xfId="51" applyNumberFormat="1" applyFont="1" applyBorder="1" applyAlignment="1">
      <alignment horizontal="left"/>
    </xf>
    <xf numFmtId="49" fontId="7" fillId="3" borderId="2" xfId="51" applyNumberFormat="1" applyFont="1" applyBorder="1" applyAlignment="1">
      <alignment horizontal="left"/>
    </xf>
    <xf numFmtId="49" fontId="6" fillId="3" borderId="1" xfId="23" applyNumberFormat="1" applyFont="1" applyFill="1" applyBorder="1" applyAlignment="1">
      <alignment horizontal="left"/>
    </xf>
    <xf numFmtId="176" fontId="6" fillId="3" borderId="2" xfId="23" applyNumberFormat="1" applyFont="1" applyFill="1" applyBorder="1" applyAlignment="1">
      <alignment horizontal="left"/>
    </xf>
    <xf numFmtId="49" fontId="6" fillId="3" borderId="2" xfId="23" applyNumberFormat="1" applyFont="1" applyFill="1" applyBorder="1" applyAlignment="1">
      <alignment horizontal="left"/>
    </xf>
    <xf numFmtId="0" fontId="5" fillId="0" borderId="2" xfId="49" applyFont="1" applyBorder="1" applyAlignment="1">
      <alignment horizontal="left"/>
    </xf>
    <xf numFmtId="176" fontId="5" fillId="0" borderId="2" xfId="50" applyNumberFormat="1" applyFont="1" applyBorder="1" applyAlignment="1">
      <alignment horizontal="left"/>
    </xf>
    <xf numFmtId="176" fontId="5" fillId="0" borderId="0" xfId="49" applyNumberFormat="1" applyFont="1" applyBorder="1" applyAlignment="1">
      <alignment horizontal="center"/>
    </xf>
    <xf numFmtId="0" fontId="6" fillId="0" borderId="0" xfId="51" applyNumberFormat="1" applyFill="1" applyBorder="1" applyAlignment="1">
      <alignment horizontal="left"/>
    </xf>
    <xf numFmtId="176" fontId="6" fillId="0" borderId="0" xfId="51" applyNumberFormat="1" applyFill="1" applyBorder="1" applyAlignment="1">
      <alignment horizontal="center"/>
    </xf>
    <xf numFmtId="0" fontId="8" fillId="0" borderId="0" xfId="22" applyFont="1" applyFill="1" applyBorder="1" applyAlignment="1">
      <alignment horizontal="left"/>
    </xf>
    <xf numFmtId="176" fontId="3" fillId="0" borderId="0" xfId="49" applyNumberFormat="1" applyAlignment="1">
      <alignment horizontal="left"/>
    </xf>
    <xf numFmtId="176" fontId="3" fillId="0" borderId="0" xfId="49" applyNumberFormat="1" applyBorder="1" applyAlignment="1">
      <alignment horizontal="center"/>
    </xf>
    <xf numFmtId="0" fontId="6" fillId="3" borderId="2" xfId="51" applyNumberFormat="1" applyBorder="1" applyAlignment="1">
      <alignment horizontal="left"/>
    </xf>
    <xf numFmtId="176" fontId="6" fillId="3" borderId="0" xfId="51" applyNumberFormat="1" applyBorder="1" applyAlignment="1">
      <alignment horizontal="center"/>
    </xf>
    <xf numFmtId="176" fontId="9" fillId="0" borderId="0" xfId="22" applyNumberFormat="1" applyFont="1" applyFill="1" applyBorder="1" applyAlignment="1">
      <alignment horizontal="left"/>
    </xf>
    <xf numFmtId="176" fontId="3" fillId="0" borderId="0" xfId="49" applyNumberFormat="1" applyFont="1" applyAlignment="1">
      <alignment horizontal="left"/>
    </xf>
    <xf numFmtId="176" fontId="9" fillId="0" borderId="0" xfId="22" applyNumberFormat="1" applyFont="1" applyFill="1" applyBorder="1" applyAlignment="1">
      <alignment horizontal="center"/>
    </xf>
    <xf numFmtId="0" fontId="7" fillId="0" borderId="0" xfId="51" applyNumberFormat="1" applyFont="1" applyFill="1" applyBorder="1" applyAlignment="1">
      <alignment horizontal="left"/>
    </xf>
    <xf numFmtId="176" fontId="7" fillId="0" borderId="0" xfId="51" applyNumberFormat="1" applyFont="1" applyFill="1" applyBorder="1" applyAlignment="1">
      <alignment horizontal="center"/>
    </xf>
    <xf numFmtId="176" fontId="4" fillId="0" borderId="0" xfId="49" applyNumberFormat="1" applyFont="1" applyBorder="1" applyAlignment="1">
      <alignment horizontal="center"/>
    </xf>
    <xf numFmtId="176" fontId="6" fillId="0" borderId="0" xfId="51" applyNumberFormat="1" applyFill="1" applyBorder="1" applyAlignment="1">
      <alignment horizontal="right"/>
    </xf>
    <xf numFmtId="176" fontId="3" fillId="0" borderId="0" xfId="49" applyNumberFormat="1" applyBorder="1" applyAlignment="1">
      <alignment horizontal="right"/>
    </xf>
    <xf numFmtId="176" fontId="3" fillId="0" borderId="5" xfId="49" applyNumberFormat="1" applyBorder="1" applyAlignment="1">
      <alignment horizontal="right"/>
    </xf>
    <xf numFmtId="176" fontId="6" fillId="3" borderId="6" xfId="51" applyNumberFormat="1" applyBorder="1" applyAlignment="1">
      <alignment horizontal="left"/>
    </xf>
    <xf numFmtId="176" fontId="9" fillId="0" borderId="5" xfId="22" applyNumberFormat="1" applyFont="1" applyFill="1" applyBorder="1" applyAlignment="1">
      <alignment horizontal="left"/>
    </xf>
    <xf numFmtId="176" fontId="10" fillId="0" borderId="0" xfId="22" applyNumberFormat="1" applyFont="1" applyFill="1" applyBorder="1" applyAlignment="1">
      <alignment horizontal="left"/>
    </xf>
    <xf numFmtId="176" fontId="8" fillId="0" borderId="0" xfId="22" applyNumberFormat="1" applyFont="1" applyFill="1" applyBorder="1" applyAlignment="1">
      <alignment horizontal="left"/>
    </xf>
    <xf numFmtId="176" fontId="5" fillId="0" borderId="6" xfId="49" applyNumberFormat="1" applyFont="1" applyBorder="1" applyAlignment="1">
      <alignment horizontal="center"/>
    </xf>
    <xf numFmtId="176" fontId="5" fillId="0" borderId="7" xfId="49" applyNumberFormat="1" applyFont="1" applyBorder="1" applyAlignment="1">
      <alignment horizontal="left"/>
    </xf>
    <xf numFmtId="176" fontId="5" fillId="0" borderId="0" xfId="49" applyNumberFormat="1" applyFont="1" applyAlignment="1">
      <alignment horizontal="left"/>
    </xf>
    <xf numFmtId="0" fontId="5" fillId="0" borderId="0" xfId="49" applyFont="1" applyFill="1" applyBorder="1" applyAlignment="1">
      <alignment horizontal="center"/>
    </xf>
    <xf numFmtId="176" fontId="6" fillId="0" borderId="5" xfId="51" applyNumberFormat="1" applyFill="1" applyBorder="1" applyAlignment="1">
      <alignment horizontal="center"/>
    </xf>
    <xf numFmtId="176" fontId="2" fillId="0" borderId="5" xfId="49" applyNumberFormat="1" applyFont="1" applyBorder="1" applyAlignment="1">
      <alignment horizontal="left"/>
    </xf>
    <xf numFmtId="176" fontId="2" fillId="0" borderId="0" xfId="49" applyNumberFormat="1" applyFont="1" applyAlignment="1">
      <alignment horizontal="left"/>
    </xf>
    <xf numFmtId="0" fontId="3" fillId="0" borderId="0" xfId="49" applyFill="1" applyBorder="1" applyAlignment="1">
      <alignment horizontal="center"/>
    </xf>
    <xf numFmtId="176" fontId="3" fillId="0" borderId="5" xfId="49" applyNumberFormat="1" applyBorder="1" applyAlignment="1">
      <alignment horizontal="center"/>
    </xf>
    <xf numFmtId="176" fontId="3" fillId="0" borderId="5" xfId="49" applyNumberFormat="1" applyBorder="1" applyAlignment="1">
      <alignment horizontal="left"/>
    </xf>
    <xf numFmtId="176" fontId="6" fillId="3" borderId="2" xfId="51" applyNumberFormat="1" applyBorder="1" applyAlignment="1">
      <alignment horizontal="center"/>
    </xf>
    <xf numFmtId="176" fontId="11" fillId="2" borderId="6" xfId="49" applyNumberFormat="1" applyFont="1" applyFill="1" applyBorder="1" applyAlignment="1">
      <alignment horizontal="left"/>
    </xf>
    <xf numFmtId="176" fontId="11" fillId="0" borderId="0" xfId="49" applyNumberFormat="1" applyFont="1" applyAlignment="1">
      <alignment horizontal="left"/>
    </xf>
    <xf numFmtId="176" fontId="11" fillId="0" borderId="8" xfId="49" applyNumberFormat="1" applyFont="1" applyBorder="1" applyAlignment="1">
      <alignment horizontal="left"/>
    </xf>
    <xf numFmtId="0" fontId="2" fillId="0" borderId="0" xfId="49" applyFont="1" applyFill="1" applyBorder="1" applyAlignment="1">
      <alignment horizontal="left"/>
    </xf>
    <xf numFmtId="176" fontId="9" fillId="0" borderId="5" xfId="22" applyNumberFormat="1" applyFont="1" applyFill="1" applyBorder="1" applyAlignment="1">
      <alignment horizontal="center"/>
    </xf>
    <xf numFmtId="176" fontId="9" fillId="0" borderId="5" xfId="22" applyNumberFormat="1" applyFont="1" applyFill="1" applyBorder="1"/>
    <xf numFmtId="176" fontId="9" fillId="0" borderId="0" xfId="22" applyNumberFormat="1" applyFont="1" applyFill="1" applyBorder="1"/>
    <xf numFmtId="0" fontId="3" fillId="0" borderId="0" xfId="49" applyFont="1" applyFill="1" applyBorder="1" applyAlignment="1">
      <alignment horizontal="left"/>
    </xf>
    <xf numFmtId="176" fontId="7" fillId="0" borderId="5" xfId="51" applyNumberFormat="1" applyFont="1" applyFill="1" applyBorder="1" applyAlignment="1">
      <alignment horizontal="center"/>
    </xf>
    <xf numFmtId="176" fontId="5" fillId="0" borderId="5" xfId="49" applyNumberFormat="1" applyFont="1" applyBorder="1" applyAlignment="1">
      <alignment horizontal="left"/>
    </xf>
    <xf numFmtId="49" fontId="3" fillId="0" borderId="0" xfId="50" applyNumberFormat="1" applyAlignment="1">
      <alignment vertical="top" wrapText="1"/>
    </xf>
    <xf numFmtId="176" fontId="4" fillId="0" borderId="5" xfId="49" applyNumberFormat="1" applyFont="1" applyBorder="1" applyAlignment="1">
      <alignment horizontal="center"/>
    </xf>
    <xf numFmtId="176" fontId="4" fillId="0" borderId="5" xfId="49" applyNumberFormat="1" applyFont="1" applyBorder="1" applyAlignment="1">
      <alignment horizontal="left"/>
    </xf>
    <xf numFmtId="49" fontId="3" fillId="0" borderId="0" xfId="50" applyNumberFormat="1" applyAlignment="1">
      <alignment horizontal="center" vertical="top"/>
    </xf>
    <xf numFmtId="176" fontId="6" fillId="0" borderId="8" xfId="51" applyNumberFormat="1" applyFill="1" applyBorder="1" applyAlignment="1">
      <alignment horizontal="right"/>
    </xf>
    <xf numFmtId="0" fontId="2" fillId="0" borderId="0" xfId="49" applyFont="1" applyAlignment="1">
      <alignment horizontal="left"/>
    </xf>
    <xf numFmtId="0" fontId="3" fillId="0" borderId="0" xfId="49" applyAlignment="1">
      <alignment horizontal="left"/>
    </xf>
    <xf numFmtId="0" fontId="6" fillId="0" borderId="0" xfId="51" applyFill="1" applyBorder="1" applyAlignment="1">
      <alignment horizontal="left"/>
    </xf>
    <xf numFmtId="0" fontId="5" fillId="0" borderId="0" xfId="49" applyFont="1" applyAlignment="1">
      <alignment horizontal="left"/>
    </xf>
    <xf numFmtId="49" fontId="3" fillId="0" borderId="0" xfId="50" applyNumberFormat="1" applyAlignment="1">
      <alignment horizontal="center" vertical="top" wrapText="1"/>
    </xf>
    <xf numFmtId="176" fontId="6" fillId="0" borderId="0" xfId="23" applyNumberFormat="1" applyFont="1" applyFill="1" applyBorder="1" applyAlignment="1" applyProtection="1">
      <alignment horizontal="left"/>
    </xf>
    <xf numFmtId="49" fontId="3" fillId="0" borderId="0" xfId="50" applyNumberFormat="1" applyFill="1" applyBorder="1" applyAlignment="1">
      <alignment horizontal="center"/>
    </xf>
    <xf numFmtId="49" fontId="3" fillId="0" borderId="0" xfId="50" applyNumberFormat="1" applyFont="1" applyFill="1" applyBorder="1" applyAlignment="1">
      <alignment horizontal="center" vertical="top"/>
    </xf>
    <xf numFmtId="176" fontId="9" fillId="0" borderId="9" xfId="22" applyNumberFormat="1" applyFont="1" applyFill="1" applyBorder="1"/>
    <xf numFmtId="49" fontId="5" fillId="0" borderId="0" xfId="49" applyNumberFormat="1" applyFont="1"/>
    <xf numFmtId="49" fontId="4" fillId="0" borderId="0" xfId="49" applyNumberFormat="1" applyFont="1" applyFill="1" applyBorder="1"/>
    <xf numFmtId="0" fontId="3" fillId="0" borderId="0" xfId="49" applyFill="1" applyBorder="1"/>
    <xf numFmtId="176" fontId="8" fillId="0" borderId="5" xfId="22" applyNumberFormat="1" applyFont="1" applyFill="1" applyBorder="1" applyAlignment="1">
      <alignment horizontal="left"/>
    </xf>
    <xf numFmtId="176" fontId="4" fillId="0" borderId="0" xfId="49" applyNumberFormat="1" applyFont="1" applyFill="1" applyBorder="1"/>
    <xf numFmtId="177" fontId="3" fillId="0" borderId="0" xfId="0" applyNumberFormat="1" applyFont="1" applyFill="1" applyBorder="1" applyAlignment="1">
      <alignment horizontal="center"/>
    </xf>
    <xf numFmtId="0" fontId="5" fillId="0" borderId="0" xfId="49" applyFont="1" applyFill="1" applyBorder="1" applyAlignment="1">
      <alignment horizontal="left"/>
    </xf>
    <xf numFmtId="49" fontId="5" fillId="0" borderId="0" xfId="49" applyNumberFormat="1" applyFont="1" applyFill="1" applyBorder="1" applyAlignment="1">
      <alignment horizontal="center"/>
    </xf>
    <xf numFmtId="0" fontId="3" fillId="0" borderId="0" xfId="49" applyFill="1" applyBorder="1" applyAlignment="1">
      <alignment horizontal="left"/>
    </xf>
    <xf numFmtId="0" fontId="2" fillId="0" borderId="0" xfId="49" applyFont="1" applyFill="1" applyBorder="1" applyAlignment="1">
      <alignment horizontal="center"/>
    </xf>
    <xf numFmtId="49" fontId="2" fillId="0" borderId="0" xfId="49" applyNumberFormat="1" applyFont="1" applyFill="1" applyBorder="1" applyAlignment="1">
      <alignment horizontal="center"/>
    </xf>
    <xf numFmtId="49" fontId="3" fillId="0" borderId="0" xfId="49" applyNumberFormat="1" applyFill="1" applyBorder="1" applyAlignment="1">
      <alignment horizontal="center"/>
    </xf>
    <xf numFmtId="49" fontId="2" fillId="0" borderId="0" xfId="49" applyNumberFormat="1" applyFont="1" applyFill="1" applyBorder="1" applyAlignment="1">
      <alignment horizontal="left"/>
    </xf>
    <xf numFmtId="1" fontId="3" fillId="0" borderId="0" xfId="49" applyNumberFormat="1" applyFont="1" applyFill="1" applyBorder="1" applyAlignment="1">
      <alignment horizontal="left"/>
    </xf>
    <xf numFmtId="0" fontId="3" fillId="0" borderId="0" xfId="49" applyFont="1" applyAlignment="1">
      <alignment horizontal="left"/>
    </xf>
    <xf numFmtId="2" fontId="6" fillId="0" borderId="0" xfId="51" applyNumberFormat="1" applyFill="1" applyBorder="1" applyAlignment="1">
      <alignment horizontal="left"/>
    </xf>
    <xf numFmtId="49" fontId="5" fillId="0" borderId="0" xfId="49" applyNumberFormat="1" applyFont="1" applyAlignment="1">
      <alignment horizontal="left"/>
    </xf>
    <xf numFmtId="0" fontId="4" fillId="0" borderId="0" xfId="50" applyFont="1" applyAlignment="1">
      <alignment horizontal="left"/>
    </xf>
    <xf numFmtId="2" fontId="4" fillId="0" borderId="0" xfId="49" applyNumberFormat="1" applyFont="1" applyAlignment="1">
      <alignment horizontal="left"/>
    </xf>
    <xf numFmtId="49" fontId="2" fillId="0" borderId="0" xfId="0" applyNumberFormat="1" applyFont="1" applyFill="1" applyAlignment="1">
      <alignment horizontal="left"/>
    </xf>
    <xf numFmtId="2" fontId="3" fillId="0" borderId="0" xfId="49" applyNumberFormat="1" applyFont="1" applyAlignment="1">
      <alignment horizontal="left"/>
    </xf>
    <xf numFmtId="178" fontId="4" fillId="0" borderId="0" xfId="49" applyNumberFormat="1" applyFont="1" applyAlignment="1">
      <alignment horizontal="left"/>
    </xf>
    <xf numFmtId="1" fontId="6" fillId="0" borderId="0" xfId="51" applyNumberFormat="1" applyFill="1" applyBorder="1" applyAlignment="1">
      <alignment horizontal="left"/>
    </xf>
    <xf numFmtId="0" fontId="4" fillId="0" borderId="0" xfId="50" applyFont="1" applyFill="1" applyBorder="1" applyAlignment="1">
      <alignment horizontal="left"/>
    </xf>
    <xf numFmtId="2" fontId="3" fillId="0" borderId="0" xfId="49" applyNumberFormat="1" applyFont="1" applyFill="1" applyBorder="1" applyAlignment="1">
      <alignment horizontal="center"/>
    </xf>
    <xf numFmtId="178" fontId="4" fillId="0" borderId="0" xfId="49" applyNumberFormat="1" applyFont="1" applyFill="1" applyBorder="1" applyAlignment="1">
      <alignment horizontal="center"/>
    </xf>
    <xf numFmtId="4" fontId="5" fillId="0" borderId="0" xfId="49" applyNumberFormat="1" applyFont="1" applyFill="1" applyBorder="1" applyAlignment="1">
      <alignment horizontal="left"/>
    </xf>
    <xf numFmtId="0" fontId="2" fillId="0" borderId="0" xfId="49" applyFont="1" applyFill="1" applyBorder="1"/>
    <xf numFmtId="2" fontId="3" fillId="0" borderId="0" xfId="49" applyNumberFormat="1" applyFont="1" applyFill="1" applyBorder="1" applyAlignment="1">
      <alignment horizontal="left"/>
    </xf>
    <xf numFmtId="178" fontId="3" fillId="0" borderId="0" xfId="49" applyNumberFormat="1" applyFont="1" applyFill="1" applyBorder="1" applyAlignment="1">
      <alignment horizontal="left"/>
    </xf>
    <xf numFmtId="0" fontId="3" fillId="0" borderId="0" xfId="50" applyFont="1" applyFill="1" applyBorder="1" applyAlignment="1">
      <alignment horizontal="left"/>
    </xf>
    <xf numFmtId="179" fontId="4" fillId="0" borderId="0" xfId="50" applyNumberFormat="1" applyFont="1" applyFill="1" applyBorder="1" applyAlignment="1">
      <alignment horizontal="left"/>
    </xf>
    <xf numFmtId="0" fontId="3" fillId="0" borderId="0" xfId="49" applyFont="1" applyFill="1" applyBorder="1" applyAlignment="1">
      <alignment horizontal="center"/>
    </xf>
    <xf numFmtId="0" fontId="12" fillId="0" borderId="0" xfId="0" applyFont="1" applyFill="1" applyBorder="1" applyAlignment="1"/>
    <xf numFmtId="0" fontId="12" fillId="0" borderId="0" xfId="0" applyFont="1" applyFill="1" applyBorder="1" applyAlignment="1">
      <alignment horizontal="center"/>
    </xf>
    <xf numFmtId="0" fontId="5" fillId="0" borderId="0" xfId="49" applyFont="1"/>
    <xf numFmtId="2" fontId="1" fillId="0" borderId="0" xfId="49" applyNumberFormat="1" applyFont="1"/>
    <xf numFmtId="4" fontId="1" fillId="0" borderId="0" xfId="49" applyNumberFormat="1" applyFont="1" applyAlignment="1">
      <alignment horizontal="left"/>
    </xf>
    <xf numFmtId="2" fontId="2" fillId="0" borderId="0" xfId="49" applyNumberFormat="1" applyFont="1"/>
    <xf numFmtId="49" fontId="3" fillId="0" borderId="0" xfId="49" applyNumberFormat="1" applyFont="1"/>
    <xf numFmtId="49" fontId="3" fillId="0" borderId="0" xfId="49" applyNumberFormat="1"/>
    <xf numFmtId="176" fontId="6" fillId="0" borderId="0" xfId="23" applyNumberFormat="1" applyFont="1" applyFill="1" applyBorder="1" applyAlignment="1">
      <alignment horizontal="left"/>
    </xf>
    <xf numFmtId="0" fontId="5" fillId="0" borderId="6" xfId="49" applyFont="1" applyBorder="1"/>
    <xf numFmtId="176" fontId="5" fillId="0" borderId="0" xfId="50" applyNumberFormat="1" applyFont="1" applyAlignment="1">
      <alignment horizontal="left"/>
    </xf>
    <xf numFmtId="0" fontId="5" fillId="0" borderId="5" xfId="49" applyFont="1" applyBorder="1" applyAlignment="1">
      <alignment horizontal="left"/>
    </xf>
    <xf numFmtId="0" fontId="8" fillId="0" borderId="5" xfId="22" applyFont="1" applyFill="1" applyBorder="1" applyAlignment="1">
      <alignment horizontal="left"/>
    </xf>
    <xf numFmtId="2" fontId="4" fillId="0" borderId="0" xfId="50" applyNumberFormat="1" applyFont="1" applyAlignment="1">
      <alignment horizontal="left"/>
    </xf>
    <xf numFmtId="176" fontId="5" fillId="0" borderId="0" xfId="49" applyNumberFormat="1" applyFont="1" applyAlignment="1">
      <alignment horizontal="center"/>
    </xf>
    <xf numFmtId="176" fontId="3" fillId="0" borderId="0" xfId="0" applyNumberFormat="1" applyFont="1" applyFill="1" applyAlignment="1">
      <alignment horizontal="left"/>
    </xf>
    <xf numFmtId="1" fontId="6" fillId="3" borderId="2" xfId="51" applyNumberFormat="1" applyBorder="1" applyAlignment="1">
      <alignment horizontal="left"/>
    </xf>
    <xf numFmtId="49" fontId="5" fillId="0" borderId="0" xfId="49" applyNumberFormat="1" applyFont="1" applyFill="1" applyBorder="1"/>
    <xf numFmtId="0" fontId="6" fillId="0" borderId="0" xfId="51" applyFill="1" applyBorder="1" applyAlignment="1">
      <alignment horizontal="center"/>
    </xf>
    <xf numFmtId="0" fontId="4" fillId="0" borderId="0" xfId="49" applyFont="1" applyFill="1" applyBorder="1" applyAlignment="1">
      <alignment horizontal="center"/>
    </xf>
    <xf numFmtId="0" fontId="3" fillId="0" borderId="0" xfId="0" applyFont="1" applyFill="1" applyBorder="1" applyAlignment="1"/>
    <xf numFmtId="0" fontId="3" fillId="0" borderId="0" xfId="0" applyFont="1" applyFill="1" applyBorder="1" applyAlignment="1">
      <alignment horizontal="center"/>
    </xf>
    <xf numFmtId="20" fontId="3" fillId="0" borderId="0" xfId="0" applyNumberFormat="1" applyFont="1" applyFill="1" applyBorder="1" applyAlignment="1"/>
    <xf numFmtId="22" fontId="3" fillId="0" borderId="0" xfId="0" applyNumberFormat="1" applyFont="1" applyFill="1" applyBorder="1" applyAlignment="1"/>
    <xf numFmtId="0" fontId="13" fillId="0" borderId="0" xfId="0" applyFont="1" applyFill="1" applyBorder="1" applyAlignment="1"/>
    <xf numFmtId="1" fontId="6" fillId="0" borderId="0" xfId="51" applyNumberFormat="1" applyFill="1" applyBorder="1" applyAlignment="1">
      <alignment horizontal="center"/>
    </xf>
    <xf numFmtId="0" fontId="4" fillId="0" borderId="0" xfId="49" applyFont="1" applyFill="1" applyBorder="1" applyAlignment="1">
      <alignment horizontal="left"/>
    </xf>
    <xf numFmtId="49" fontId="4" fillId="0" borderId="0" xfId="49" applyNumberFormat="1" applyFont="1" applyFill="1" applyBorder="1" applyAlignment="1">
      <alignment horizontal="center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4" xfId="50"/>
    <cellStyle name="Bad 2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0"/>
  <sheetViews>
    <sheetView tabSelected="1" topLeftCell="A8" workbookViewId="0">
      <selection activeCell="A1" sqref="$A1:$XFD1048576"/>
    </sheetView>
  </sheetViews>
  <sheetFormatPr defaultColWidth="9" defaultRowHeight="17.6"/>
  <cols>
    <col min="1" max="1" width="1.7109375" style="3" customWidth="1"/>
    <col min="2" max="2" width="27.4296875" style="5" customWidth="1"/>
    <col min="3" max="3" width="11.2890625" style="6" customWidth="1"/>
    <col min="4" max="4" width="19.4296875" style="5" customWidth="1"/>
    <col min="5" max="5" width="15.140625" style="7" customWidth="1"/>
    <col min="6" max="6" width="13.4296875" style="6" customWidth="1"/>
    <col min="7" max="7" width="14.4296875" style="6" customWidth="1"/>
    <col min="8" max="9" width="12.859375" style="8" customWidth="1"/>
    <col min="10" max="10" width="10.7109375" style="9" customWidth="1"/>
    <col min="11" max="11" width="13.5703125" style="9" customWidth="1"/>
    <col min="12" max="12" width="14.4296875" style="10" customWidth="1"/>
    <col min="13" max="13" width="54" style="7" customWidth="1"/>
    <col min="14" max="14" width="14.4296875" style="10" customWidth="1"/>
    <col min="15" max="15" width="16" style="11" customWidth="1"/>
    <col min="16" max="16" width="15.140625" style="7" customWidth="1"/>
    <col min="17" max="17" width="9.140625" style="4" customWidth="1"/>
    <col min="18" max="18" width="10.859375" style="12" customWidth="1"/>
    <col min="19" max="19" width="9" style="13"/>
    <col min="20" max="20" width="9.859375" style="3" customWidth="1"/>
    <col min="21" max="22" width="9" style="3"/>
    <col min="23" max="23" width="10.859375" style="3" customWidth="1"/>
    <col min="24" max="16384" width="9" style="3"/>
  </cols>
  <sheetData>
    <row r="1" s="1" customFormat="1" ht="20.4" spans="2:19">
      <c r="B1" s="14" t="s">
        <v>0</v>
      </c>
      <c r="C1" s="15" t="s">
        <v>1</v>
      </c>
      <c r="D1" s="16" t="s">
        <v>2</v>
      </c>
      <c r="E1" s="37" t="s">
        <v>3</v>
      </c>
      <c r="F1" s="38" t="s">
        <v>4</v>
      </c>
      <c r="G1" s="15" t="s">
        <v>5</v>
      </c>
      <c r="H1" s="39" t="s">
        <v>6</v>
      </c>
      <c r="I1" s="60" t="s">
        <v>7</v>
      </c>
      <c r="J1" s="61" t="s">
        <v>8</v>
      </c>
      <c r="K1" s="62"/>
      <c r="L1" s="63"/>
      <c r="M1" s="101"/>
      <c r="N1" s="63"/>
      <c r="O1" s="102"/>
      <c r="P1" s="101"/>
      <c r="Q1" s="130"/>
      <c r="R1" s="131"/>
      <c r="S1" s="132"/>
    </row>
    <row r="2" s="2" customFormat="1" ht="16.8" hidden="1" spans="1:19">
      <c r="A2" s="3"/>
      <c r="B2" s="17"/>
      <c r="C2" s="18"/>
      <c r="D2" s="19"/>
      <c r="E2" s="40"/>
      <c r="F2" s="18"/>
      <c r="G2" s="18"/>
      <c r="H2" s="41"/>
      <c r="I2" s="64"/>
      <c r="J2" s="65"/>
      <c r="K2" s="66"/>
      <c r="L2" s="67"/>
      <c r="M2" s="103"/>
      <c r="N2" s="104"/>
      <c r="O2" s="105"/>
      <c r="P2" s="74"/>
      <c r="R2" s="133"/>
      <c r="S2" s="13"/>
    </row>
    <row r="3" s="2" customFormat="1" ht="16.8" hidden="1" spans="1:19">
      <c r="A3" s="3"/>
      <c r="B3" s="20" t="s">
        <v>9</v>
      </c>
      <c r="C3" s="21">
        <v>26</v>
      </c>
      <c r="D3" s="22"/>
      <c r="E3" s="42"/>
      <c r="F3" s="43"/>
      <c r="G3" s="43"/>
      <c r="H3" s="44"/>
      <c r="I3" s="68"/>
      <c r="J3" s="69"/>
      <c r="K3" s="43"/>
      <c r="L3" s="67"/>
      <c r="M3" s="103"/>
      <c r="N3" s="104"/>
      <c r="O3" s="105"/>
      <c r="P3" s="74"/>
      <c r="R3" s="133"/>
      <c r="S3" s="13"/>
    </row>
    <row r="4" s="2" customFormat="1" ht="16.8" hidden="1" spans="1:19">
      <c r="A4" s="3"/>
      <c r="B4" s="20" t="s">
        <v>10</v>
      </c>
      <c r="C4" s="21"/>
      <c r="D4" s="22"/>
      <c r="E4" s="42"/>
      <c r="F4" s="43"/>
      <c r="H4" s="44"/>
      <c r="I4" s="68"/>
      <c r="J4" s="69"/>
      <c r="K4" s="43"/>
      <c r="L4" s="67"/>
      <c r="M4" s="103"/>
      <c r="N4" s="104"/>
      <c r="O4" s="105"/>
      <c r="P4" s="74"/>
      <c r="R4" s="133"/>
      <c r="S4" s="13"/>
    </row>
    <row r="5" s="2" customFormat="1" ht="16.8" hidden="1" spans="1:19">
      <c r="A5" s="3"/>
      <c r="B5" s="23"/>
      <c r="C5" s="21"/>
      <c r="D5" s="22"/>
      <c r="E5" s="42"/>
      <c r="F5" s="43"/>
      <c r="G5" s="43"/>
      <c r="H5" s="44"/>
      <c r="I5" s="68"/>
      <c r="J5" s="69"/>
      <c r="K5" s="43"/>
      <c r="L5" s="67"/>
      <c r="M5" s="103"/>
      <c r="N5" s="104"/>
      <c r="O5" s="105"/>
      <c r="P5" s="74"/>
      <c r="R5" s="133"/>
      <c r="S5" s="13"/>
    </row>
    <row r="6" s="2" customFormat="1" ht="16.8" hidden="1" spans="1:19">
      <c r="A6" s="3"/>
      <c r="B6" s="24" t="s">
        <v>11</v>
      </c>
      <c r="C6" s="25"/>
      <c r="D6" s="26"/>
      <c r="E6" s="45"/>
      <c r="F6" s="25"/>
      <c r="G6" s="25"/>
      <c r="H6" s="46"/>
      <c r="I6" s="70"/>
      <c r="J6" s="71"/>
      <c r="K6" s="72"/>
      <c r="L6" s="67"/>
      <c r="M6" s="103"/>
      <c r="N6" s="67"/>
      <c r="O6" s="106"/>
      <c r="P6" s="103"/>
      <c r="R6" s="133"/>
      <c r="S6" s="13"/>
    </row>
    <row r="7" s="2" customFormat="1" spans="1:19">
      <c r="A7" s="3"/>
      <c r="B7" s="27"/>
      <c r="C7" s="18"/>
      <c r="D7" s="19"/>
      <c r="E7" s="40"/>
      <c r="F7" s="18"/>
      <c r="G7" s="18"/>
      <c r="H7" s="41"/>
      <c r="I7" s="64"/>
      <c r="J7" s="73"/>
      <c r="K7" s="72"/>
      <c r="L7" s="74"/>
      <c r="M7" s="74"/>
      <c r="N7" s="74"/>
      <c r="O7" s="107"/>
      <c r="P7" s="74"/>
      <c r="Q7" s="130"/>
      <c r="R7" s="133"/>
      <c r="S7" s="13"/>
    </row>
    <row r="8" s="2" customFormat="1" ht="16.8" spans="1:19">
      <c r="A8" s="3"/>
      <c r="B8" s="20" t="s">
        <v>12</v>
      </c>
      <c r="C8" s="21">
        <v>12</v>
      </c>
      <c r="D8" s="28" t="s">
        <v>13</v>
      </c>
      <c r="E8" s="42">
        <f>10*5+10.5+10.5+10.5+11+10.5+11.5</f>
        <v>114.5</v>
      </c>
      <c r="F8" s="47"/>
      <c r="G8" s="48">
        <f>54.68+78.55+21.57+70.62+14.79+14.88-14.88+277.6+221.39-37.8-14.53+107.77-26.78+241.38+177.69+109.25</f>
        <v>1296.18</v>
      </c>
      <c r="H8" s="49"/>
      <c r="I8" s="75"/>
      <c r="J8" s="76"/>
      <c r="K8" s="77"/>
      <c r="L8" s="74"/>
      <c r="M8" s="78"/>
      <c r="N8" s="108"/>
      <c r="O8" s="108"/>
      <c r="P8" s="108"/>
      <c r="R8" s="133"/>
      <c r="S8" s="13"/>
    </row>
    <row r="9" s="2" customFormat="1" ht="16.8" spans="1:20">
      <c r="A9" s="3"/>
      <c r="B9" s="23"/>
      <c r="C9" s="21"/>
      <c r="D9" s="28" t="s">
        <v>14</v>
      </c>
      <c r="E9" s="42">
        <f>10</f>
        <v>10</v>
      </c>
      <c r="F9" s="47"/>
      <c r="G9" s="48">
        <f>54.77</f>
        <v>54.77</v>
      </c>
      <c r="H9" s="49"/>
      <c r="I9" s="75"/>
      <c r="J9" s="76"/>
      <c r="K9" s="77"/>
      <c r="L9" s="74"/>
      <c r="M9" s="78"/>
      <c r="N9" s="108"/>
      <c r="O9" s="108"/>
      <c r="P9" s="108"/>
      <c r="R9" s="133"/>
      <c r="S9" s="13"/>
      <c r="T9" s="134"/>
    </row>
    <row r="10" s="2" customFormat="1" ht="16.8" spans="1:20">
      <c r="A10" s="3"/>
      <c r="B10" s="23"/>
      <c r="C10" s="21"/>
      <c r="D10" s="28" t="s">
        <v>15</v>
      </c>
      <c r="E10" s="42">
        <f>9.5+8</f>
        <v>17.5</v>
      </c>
      <c r="F10" s="47"/>
      <c r="G10" s="48"/>
      <c r="H10" s="49"/>
      <c r="I10" s="75"/>
      <c r="J10" s="76"/>
      <c r="K10" s="77"/>
      <c r="L10" s="78"/>
      <c r="M10" s="78"/>
      <c r="N10" s="108"/>
      <c r="O10" s="108"/>
      <c r="P10" s="108"/>
      <c r="R10" s="133"/>
      <c r="S10" s="13"/>
      <c r="T10" s="134"/>
    </row>
    <row r="11" s="3" customFormat="1" ht="16.8" spans="2:20">
      <c r="B11" s="24" t="s">
        <v>11</v>
      </c>
      <c r="C11" s="25"/>
      <c r="D11" s="26"/>
      <c r="E11" s="45">
        <f>SUM(E8:E10)</f>
        <v>142</v>
      </c>
      <c r="F11" s="25">
        <f>C8*E11</f>
        <v>1704</v>
      </c>
      <c r="G11" s="25">
        <f>SUM(G8:G10)</f>
        <v>1350.95</v>
      </c>
      <c r="H11" s="25">
        <v>0</v>
      </c>
      <c r="I11" s="25">
        <v>0</v>
      </c>
      <c r="J11" s="71">
        <f>SUM(F11:H11)</f>
        <v>3054.95</v>
      </c>
      <c r="K11" s="72"/>
      <c r="L11" s="78"/>
      <c r="M11" s="78"/>
      <c r="N11" s="108"/>
      <c r="O11" s="108"/>
      <c r="P11" s="108"/>
      <c r="Q11" s="3"/>
      <c r="R11" s="3"/>
      <c r="S11" s="3"/>
      <c r="T11" s="135"/>
    </row>
    <row r="12" s="2" customFormat="1" ht="15" customHeight="1" spans="1:21">
      <c r="A12" s="3"/>
      <c r="B12" s="29"/>
      <c r="C12" s="30"/>
      <c r="D12" s="31"/>
      <c r="E12" s="50"/>
      <c r="F12" s="30"/>
      <c r="G12" s="30"/>
      <c r="H12" s="51"/>
      <c r="I12" s="79"/>
      <c r="J12" s="80"/>
      <c r="K12" s="81"/>
      <c r="L12" s="78"/>
      <c r="M12" s="78"/>
      <c r="N12" s="108"/>
      <c r="O12" s="108"/>
      <c r="P12" s="108"/>
      <c r="Q12" s="43"/>
      <c r="R12" s="47"/>
      <c r="S12" s="47"/>
      <c r="T12" s="49"/>
      <c r="U12" s="77"/>
    </row>
    <row r="13" s="2" customFormat="1" ht="15" customHeight="1" spans="1:21">
      <c r="A13" s="3"/>
      <c r="B13" s="20" t="s">
        <v>9</v>
      </c>
      <c r="C13" s="21">
        <v>13</v>
      </c>
      <c r="D13" s="28" t="s">
        <v>16</v>
      </c>
      <c r="E13" s="42">
        <f>10+10+10</f>
        <v>30</v>
      </c>
      <c r="F13" s="43"/>
      <c r="G13" s="43"/>
      <c r="H13" s="52"/>
      <c r="I13" s="82"/>
      <c r="J13" s="83"/>
      <c r="K13" s="81"/>
      <c r="L13" s="78"/>
      <c r="M13" s="78"/>
      <c r="N13" s="108"/>
      <c r="O13" s="108"/>
      <c r="P13" s="108"/>
      <c r="Q13" s="43"/>
      <c r="R13" s="47"/>
      <c r="S13" s="47"/>
      <c r="T13" s="49"/>
      <c r="U13" s="77"/>
    </row>
    <row r="14" s="2" customFormat="1" ht="15" customHeight="1" spans="1:21">
      <c r="A14" s="3"/>
      <c r="B14" s="20" t="s">
        <v>10</v>
      </c>
      <c r="C14" s="21"/>
      <c r="D14" s="28" t="s">
        <v>17</v>
      </c>
      <c r="E14" s="42">
        <f>10*5</f>
        <v>50</v>
      </c>
      <c r="F14" s="43"/>
      <c r="G14" s="43">
        <f>39.7</f>
        <v>39.7</v>
      </c>
      <c r="H14" s="52"/>
      <c r="I14" s="82"/>
      <c r="J14" s="83"/>
      <c r="K14" s="81"/>
      <c r="L14" s="78"/>
      <c r="M14" s="78"/>
      <c r="N14" s="108"/>
      <c r="O14" s="108"/>
      <c r="P14" s="108"/>
      <c r="Q14" s="43"/>
      <c r="R14" s="47"/>
      <c r="S14" s="47"/>
      <c r="T14" s="49"/>
      <c r="U14" s="77"/>
    </row>
    <row r="15" s="2" customFormat="1" ht="15" customHeight="1" spans="1:21">
      <c r="A15" s="3"/>
      <c r="B15" s="20"/>
      <c r="C15" s="21"/>
      <c r="D15" s="28" t="s">
        <v>18</v>
      </c>
      <c r="E15" s="42">
        <f>10*3</f>
        <v>30</v>
      </c>
      <c r="F15" s="43"/>
      <c r="G15" s="43">
        <f>11.81+80.25+52.62</f>
        <v>144.68</v>
      </c>
      <c r="H15" s="52"/>
      <c r="I15" s="82"/>
      <c r="J15" s="83"/>
      <c r="K15" s="81"/>
      <c r="L15" s="78"/>
      <c r="M15" s="78"/>
      <c r="N15" s="108"/>
      <c r="O15" s="108"/>
      <c r="P15" s="108"/>
      <c r="Q15" s="43"/>
      <c r="R15" s="47"/>
      <c r="S15" s="47"/>
      <c r="T15" s="49"/>
      <c r="U15" s="77"/>
    </row>
    <row r="16" s="2" customFormat="1" ht="15" customHeight="1" spans="1:21">
      <c r="A16" s="3"/>
      <c r="B16" s="23"/>
      <c r="C16" s="21"/>
      <c r="D16" s="28" t="s">
        <v>13</v>
      </c>
      <c r="E16" s="42">
        <f>10</f>
        <v>10</v>
      </c>
      <c r="F16" s="43"/>
      <c r="G16" s="43"/>
      <c r="H16" s="52"/>
      <c r="I16" s="82"/>
      <c r="J16" s="83"/>
      <c r="K16" s="81"/>
      <c r="L16" s="78"/>
      <c r="M16" s="78"/>
      <c r="N16" s="108"/>
      <c r="O16" s="108"/>
      <c r="P16" s="108"/>
      <c r="Q16" s="43"/>
      <c r="R16" s="47"/>
      <c r="S16" s="47"/>
      <c r="T16" s="49"/>
      <c r="U16" s="77"/>
    </row>
    <row r="17" s="2" customFormat="1" ht="15" customHeight="1" spans="1:21">
      <c r="A17" s="3"/>
      <c r="B17" s="24" t="s">
        <v>11</v>
      </c>
      <c r="C17" s="32"/>
      <c r="D17" s="33"/>
      <c r="E17" s="45">
        <f>SUM(E13:E16)</f>
        <v>120</v>
      </c>
      <c r="F17" s="25">
        <f>C13*E17</f>
        <v>1560</v>
      </c>
      <c r="G17" s="25">
        <f>SUM(G14:G16)</f>
        <v>184.38</v>
      </c>
      <c r="H17" s="25">
        <v>0</v>
      </c>
      <c r="I17" s="25">
        <v>0</v>
      </c>
      <c r="J17" s="71">
        <f>SUM(F17:H17)</f>
        <v>1744.38</v>
      </c>
      <c r="K17" s="84"/>
      <c r="L17" s="78"/>
      <c r="M17" s="78"/>
      <c r="N17" s="108"/>
      <c r="O17" s="108"/>
      <c r="P17" s="108"/>
      <c r="Q17" s="136"/>
      <c r="R17" s="136"/>
      <c r="S17" s="136"/>
      <c r="T17" s="136"/>
      <c r="U17" s="91"/>
    </row>
    <row r="18" s="3" customFormat="1" ht="16.8" spans="2:20">
      <c r="B18" s="27"/>
      <c r="C18" s="18"/>
      <c r="D18" s="19"/>
      <c r="E18" s="40"/>
      <c r="F18" s="18"/>
      <c r="G18" s="18"/>
      <c r="H18" s="53"/>
      <c r="I18" s="85"/>
      <c r="J18" s="73"/>
      <c r="K18" s="77"/>
      <c r="L18" s="86"/>
      <c r="M18" s="109"/>
      <c r="N18" s="109"/>
      <c r="O18" s="28"/>
      <c r="P18" s="28"/>
      <c r="Q18" s="3"/>
      <c r="R18" s="3"/>
      <c r="S18" s="3"/>
      <c r="T18" s="135"/>
    </row>
    <row r="19" s="3" customFormat="1" ht="16.8" spans="2:20">
      <c r="B19" s="20" t="s">
        <v>19</v>
      </c>
      <c r="C19" s="21">
        <v>14</v>
      </c>
      <c r="D19" s="28" t="s">
        <v>13</v>
      </c>
      <c r="E19" s="42">
        <f>10+10+10+1+8</f>
        <v>39</v>
      </c>
      <c r="F19" s="47"/>
      <c r="G19" s="43"/>
      <c r="H19" s="54"/>
      <c r="I19" s="55"/>
      <c r="J19" s="76"/>
      <c r="K19" s="77"/>
      <c r="L19" s="87"/>
      <c r="M19" s="109"/>
      <c r="N19" s="109"/>
      <c r="O19" s="28"/>
      <c r="P19" s="28"/>
      <c r="Q19" s="3"/>
      <c r="R19" s="3"/>
      <c r="S19" s="3"/>
      <c r="T19" s="135"/>
    </row>
    <row r="20" s="3" customFormat="1" ht="16.8" spans="2:20">
      <c r="B20" s="23"/>
      <c r="C20" s="21"/>
      <c r="D20" s="28" t="s">
        <v>20</v>
      </c>
      <c r="E20" s="42">
        <f>1.5+4</f>
        <v>5.5</v>
      </c>
      <c r="F20" s="47"/>
      <c r="G20" s="43"/>
      <c r="H20" s="54"/>
      <c r="I20" s="55"/>
      <c r="J20" s="76"/>
      <c r="K20" s="77"/>
      <c r="L20" s="87"/>
      <c r="M20" s="109"/>
      <c r="N20" s="109"/>
      <c r="O20" s="28"/>
      <c r="P20" s="28"/>
      <c r="Q20" s="3"/>
      <c r="R20" s="3"/>
      <c r="S20" s="3"/>
      <c r="T20" s="135"/>
    </row>
    <row r="21" s="3" customFormat="1" ht="16.8" spans="2:16">
      <c r="B21" s="23"/>
      <c r="C21" s="21"/>
      <c r="D21" s="28" t="s">
        <v>21</v>
      </c>
      <c r="E21" s="42">
        <f>4.5</f>
        <v>4.5</v>
      </c>
      <c r="F21" s="47"/>
      <c r="G21" s="43"/>
      <c r="H21" s="54"/>
      <c r="I21" s="55"/>
      <c r="J21" s="76"/>
      <c r="K21" s="77"/>
      <c r="L21" s="88"/>
      <c r="M21" s="88"/>
      <c r="N21" s="88"/>
      <c r="O21" s="19"/>
      <c r="P21" s="110"/>
    </row>
    <row r="22" s="3" customFormat="1" spans="2:17">
      <c r="B22" s="23"/>
      <c r="C22" s="21"/>
      <c r="D22" s="28" t="s">
        <v>22</v>
      </c>
      <c r="E22" s="42">
        <f>9.5+10*4</f>
        <v>49.5</v>
      </c>
      <c r="F22" s="47"/>
      <c r="G22" s="43"/>
      <c r="H22" s="54"/>
      <c r="I22" s="55"/>
      <c r="J22" s="76"/>
      <c r="K22" s="77"/>
      <c r="L22" s="7"/>
      <c r="M22" s="7"/>
      <c r="N22" s="89"/>
      <c r="O22" s="111"/>
      <c r="P22" s="89"/>
      <c r="Q22" s="130"/>
    </row>
    <row r="23" s="2" customFormat="1" ht="15" hidden="1" customHeight="1" spans="1:23">
      <c r="A23" s="3"/>
      <c r="B23" s="23"/>
      <c r="C23" s="21"/>
      <c r="D23" s="28"/>
      <c r="E23" s="42"/>
      <c r="F23" s="47"/>
      <c r="G23" s="43"/>
      <c r="H23" s="55"/>
      <c r="I23" s="55"/>
      <c r="J23" s="76"/>
      <c r="K23" s="77"/>
      <c r="L23" s="89"/>
      <c r="M23" s="89"/>
      <c r="N23" s="89"/>
      <c r="O23" s="111"/>
      <c r="P23" s="89"/>
      <c r="Q23" s="137" t="s">
        <v>23</v>
      </c>
      <c r="R23" s="138"/>
      <c r="S23" s="62"/>
      <c r="T23" s="62"/>
      <c r="U23" s="62"/>
      <c r="V23" s="142"/>
      <c r="W23" s="62"/>
    </row>
    <row r="24" s="2" customFormat="1" ht="15" hidden="1" customHeight="1" spans="1:23">
      <c r="A24" s="3"/>
      <c r="B24" s="23"/>
      <c r="C24" s="21"/>
      <c r="D24" s="28"/>
      <c r="E24" s="42"/>
      <c r="F24" s="47"/>
      <c r="G24" s="43"/>
      <c r="H24" s="55"/>
      <c r="I24" s="55"/>
      <c r="J24" s="76"/>
      <c r="K24" s="77"/>
      <c r="L24" s="86"/>
      <c r="M24" s="7"/>
      <c r="N24" s="89"/>
      <c r="O24" s="111"/>
      <c r="P24" s="7"/>
      <c r="Q24" s="139"/>
      <c r="R24" s="47"/>
      <c r="S24" s="43"/>
      <c r="T24" s="47"/>
      <c r="U24" s="47"/>
      <c r="V24" s="49"/>
      <c r="W24" s="77"/>
    </row>
    <row r="25" s="2" customFormat="1" ht="15" hidden="1" customHeight="1" spans="1:23">
      <c r="A25" s="3"/>
      <c r="B25" s="23"/>
      <c r="C25" s="21"/>
      <c r="D25" s="28"/>
      <c r="E25" s="42"/>
      <c r="F25" s="47"/>
      <c r="G25" s="43"/>
      <c r="H25" s="55"/>
      <c r="I25" s="55"/>
      <c r="J25" s="76"/>
      <c r="K25" s="77"/>
      <c r="L25" s="86"/>
      <c r="M25" s="112"/>
      <c r="N25" s="111"/>
      <c r="O25" s="62"/>
      <c r="P25" s="113"/>
      <c r="Q25" s="140"/>
      <c r="R25" s="47"/>
      <c r="S25" s="43"/>
      <c r="T25" s="47"/>
      <c r="U25" s="47"/>
      <c r="V25" s="49"/>
      <c r="W25" s="77"/>
    </row>
    <row r="26" s="2" customFormat="1" ht="15" hidden="1" customHeight="1" spans="1:23">
      <c r="A26" s="3"/>
      <c r="B26" s="23"/>
      <c r="C26" s="21"/>
      <c r="D26" s="28"/>
      <c r="E26" s="42"/>
      <c r="F26" s="47"/>
      <c r="G26" s="43"/>
      <c r="H26" s="55"/>
      <c r="I26" s="55"/>
      <c r="J26" s="76"/>
      <c r="K26" s="77"/>
      <c r="L26" s="84"/>
      <c r="M26" s="112"/>
      <c r="N26" s="114"/>
      <c r="O26" s="21"/>
      <c r="P26" s="115"/>
      <c r="Q26" s="140"/>
      <c r="R26" s="47"/>
      <c r="S26" s="43"/>
      <c r="T26" s="47"/>
      <c r="U26" s="47"/>
      <c r="V26" s="49"/>
      <c r="W26" s="77"/>
    </row>
    <row r="27" s="2" customFormat="1" ht="15" hidden="1" customHeight="1" spans="1:23">
      <c r="A27" s="3"/>
      <c r="B27" s="23"/>
      <c r="C27" s="21"/>
      <c r="D27" s="28"/>
      <c r="E27" s="42"/>
      <c r="F27" s="47"/>
      <c r="G27" s="43"/>
      <c r="H27" s="55"/>
      <c r="I27" s="55"/>
      <c r="J27" s="76"/>
      <c r="K27" s="77"/>
      <c r="L27" s="84"/>
      <c r="M27" s="112"/>
      <c r="N27" s="114"/>
      <c r="O27" s="21"/>
      <c r="P27" s="115"/>
      <c r="Q27" s="140"/>
      <c r="R27" s="47"/>
      <c r="S27" s="43"/>
      <c r="T27" s="47"/>
      <c r="U27" s="47"/>
      <c r="V27" s="49"/>
      <c r="W27" s="77"/>
    </row>
    <row r="28" s="2" customFormat="1" ht="15" hidden="1" customHeight="1" spans="1:23">
      <c r="A28" s="3"/>
      <c r="B28" s="24" t="s">
        <v>11</v>
      </c>
      <c r="C28" s="25"/>
      <c r="D28" s="26"/>
      <c r="E28" s="45"/>
      <c r="F28" s="25"/>
      <c r="G28" s="25"/>
      <c r="H28" s="56"/>
      <c r="I28" s="56"/>
      <c r="J28" s="71"/>
      <c r="K28" s="77"/>
      <c r="L28" s="84"/>
      <c r="M28" s="112"/>
      <c r="N28" s="114"/>
      <c r="O28" s="21"/>
      <c r="P28" s="28"/>
      <c r="Q28" s="140"/>
      <c r="R28" s="47"/>
      <c r="S28" s="43"/>
      <c r="T28" s="47"/>
      <c r="U28" s="47"/>
      <c r="V28" s="49"/>
      <c r="W28" s="77"/>
    </row>
    <row r="29" s="2" customFormat="1" ht="15" hidden="1" customHeight="1" spans="1:23">
      <c r="A29" s="3"/>
      <c r="B29" s="23"/>
      <c r="C29" s="21"/>
      <c r="D29" s="22"/>
      <c r="E29" s="42"/>
      <c r="F29" s="47"/>
      <c r="G29" s="43"/>
      <c r="H29" s="57"/>
      <c r="I29" s="57"/>
      <c r="J29" s="76"/>
      <c r="K29" s="77"/>
      <c r="L29" s="84"/>
      <c r="M29" s="112"/>
      <c r="N29" s="114"/>
      <c r="O29" s="21"/>
      <c r="P29" s="28"/>
      <c r="Q29" s="139"/>
      <c r="R29" s="47"/>
      <c r="S29" s="43"/>
      <c r="T29" s="47"/>
      <c r="U29" s="47"/>
      <c r="V29" s="49"/>
      <c r="W29" s="77"/>
    </row>
    <row r="30" s="2" customFormat="1" ht="15" hidden="1" customHeight="1" spans="1:23">
      <c r="A30" s="3"/>
      <c r="B30" s="20" t="s">
        <v>24</v>
      </c>
      <c r="C30" s="21">
        <v>25</v>
      </c>
      <c r="D30" s="28"/>
      <c r="E30" s="42"/>
      <c r="F30" s="47"/>
      <c r="G30" s="43"/>
      <c r="H30" s="57"/>
      <c r="I30" s="57"/>
      <c r="J30" s="76"/>
      <c r="K30" s="77"/>
      <c r="L30" s="90"/>
      <c r="M30" s="112"/>
      <c r="N30" s="111"/>
      <c r="O30" s="62"/>
      <c r="P30" s="28"/>
      <c r="Q30" s="140"/>
      <c r="R30" s="47"/>
      <c r="S30" s="43"/>
      <c r="T30" s="47"/>
      <c r="U30" s="47"/>
      <c r="V30" s="49"/>
      <c r="W30" s="77"/>
    </row>
    <row r="31" s="2" customFormat="1" ht="15" hidden="1" customHeight="1" spans="1:23">
      <c r="A31" s="3"/>
      <c r="B31" s="23"/>
      <c r="C31" s="21"/>
      <c r="D31" s="28"/>
      <c r="E31" s="42"/>
      <c r="F31" s="58"/>
      <c r="G31" s="43"/>
      <c r="H31" s="57"/>
      <c r="I31" s="57"/>
      <c r="J31" s="76"/>
      <c r="K31" s="77"/>
      <c r="L31" s="84"/>
      <c r="M31" s="112"/>
      <c r="N31" s="114"/>
      <c r="O31" s="21"/>
      <c r="P31" s="5"/>
      <c r="Q31" s="140"/>
      <c r="R31" s="47"/>
      <c r="S31" s="43"/>
      <c r="T31" s="47"/>
      <c r="U31" s="47"/>
      <c r="V31" s="49"/>
      <c r="W31" s="77"/>
    </row>
    <row r="32" s="2" customFormat="1" ht="15" hidden="1" customHeight="1" spans="1:23">
      <c r="A32" s="3"/>
      <c r="B32" s="23"/>
      <c r="C32" s="21"/>
      <c r="D32" s="28"/>
      <c r="E32" s="42"/>
      <c r="F32" s="47"/>
      <c r="G32" s="43"/>
      <c r="H32" s="57"/>
      <c r="I32" s="57"/>
      <c r="J32" s="76"/>
      <c r="K32" s="77"/>
      <c r="L32" s="84"/>
      <c r="M32" s="112"/>
      <c r="N32" s="114"/>
      <c r="O32" s="21"/>
      <c r="P32" s="28"/>
      <c r="Q32" s="140"/>
      <c r="R32" s="47"/>
      <c r="S32" s="43"/>
      <c r="T32" s="47"/>
      <c r="U32" s="47"/>
      <c r="V32" s="49"/>
      <c r="W32" s="77"/>
    </row>
    <row r="33" s="2" customFormat="1" ht="15" hidden="1" customHeight="1" spans="1:23">
      <c r="A33" s="3"/>
      <c r="B33" s="23"/>
      <c r="C33" s="21"/>
      <c r="D33" s="28"/>
      <c r="E33" s="42"/>
      <c r="F33" s="47"/>
      <c r="G33" s="43"/>
      <c r="H33" s="57"/>
      <c r="I33" s="57"/>
      <c r="J33" s="76"/>
      <c r="K33" s="91"/>
      <c r="L33" s="84"/>
      <c r="M33" s="112"/>
      <c r="N33" s="114"/>
      <c r="O33" s="21"/>
      <c r="P33" s="28"/>
      <c r="Q33" s="140"/>
      <c r="R33" s="47"/>
      <c r="S33" s="43"/>
      <c r="T33" s="47"/>
      <c r="U33" s="47"/>
      <c r="V33" s="49"/>
      <c r="W33" s="77"/>
    </row>
    <row r="34" s="2" customFormat="1" ht="15" customHeight="1" spans="1:21">
      <c r="A34" s="3"/>
      <c r="B34" s="34" t="s">
        <v>11</v>
      </c>
      <c r="C34" s="35"/>
      <c r="D34" s="36"/>
      <c r="E34" s="45">
        <f>SUM(E19:E33)</f>
        <v>98.5</v>
      </c>
      <c r="F34" s="35">
        <f>C19*E34</f>
        <v>1379</v>
      </c>
      <c r="G34" s="35">
        <v>0</v>
      </c>
      <c r="H34" s="35">
        <v>0</v>
      </c>
      <c r="I34" s="35">
        <v>0</v>
      </c>
      <c r="J34" s="71">
        <f>SUM(F34:H34)</f>
        <v>1379</v>
      </c>
      <c r="K34" s="77"/>
      <c r="L34" s="84"/>
      <c r="M34" s="112"/>
      <c r="N34" s="115"/>
      <c r="O34" s="116"/>
      <c r="P34" s="47"/>
      <c r="Q34" s="43"/>
      <c r="R34" s="47"/>
      <c r="S34" s="47"/>
      <c r="T34" s="49"/>
      <c r="U34" s="77"/>
    </row>
    <row r="35" s="2" customFormat="1" ht="15" customHeight="1" spans="1:21">
      <c r="A35" s="3"/>
      <c r="B35" s="23"/>
      <c r="C35" s="21"/>
      <c r="D35" s="22"/>
      <c r="E35" s="42"/>
      <c r="F35" s="47"/>
      <c r="G35" s="43"/>
      <c r="H35" s="49"/>
      <c r="I35" s="75"/>
      <c r="J35" s="76"/>
      <c r="K35" s="84"/>
      <c r="L35" s="78"/>
      <c r="M35" s="78"/>
      <c r="N35" s="108"/>
      <c r="O35" s="108"/>
      <c r="P35" s="108"/>
      <c r="Q35" s="136"/>
      <c r="R35" s="136"/>
      <c r="S35" s="136"/>
      <c r="T35" s="136"/>
      <c r="U35" s="91"/>
    </row>
    <row r="36" s="2" customFormat="1" ht="15" customHeight="1" spans="1:21">
      <c r="A36" s="3"/>
      <c r="B36" s="20" t="s">
        <v>25</v>
      </c>
      <c r="C36" s="21">
        <v>15</v>
      </c>
      <c r="D36" s="28" t="s">
        <v>13</v>
      </c>
      <c r="E36" s="42">
        <f>1.5+4.5+6+8.5+5+1.5+1</f>
        <v>28</v>
      </c>
      <c r="F36" s="47"/>
      <c r="G36" s="43"/>
      <c r="H36" s="49"/>
      <c r="I36" s="75"/>
      <c r="J36" s="76"/>
      <c r="K36" s="84"/>
      <c r="L36" s="78"/>
      <c r="M36" s="78"/>
      <c r="N36" s="108"/>
      <c r="O36" s="108"/>
      <c r="P36" s="108"/>
      <c r="Q36" s="136"/>
      <c r="R36" s="136"/>
      <c r="S36" s="136"/>
      <c r="T36" s="136"/>
      <c r="U36" s="91"/>
    </row>
    <row r="37" s="2" customFormat="1" ht="15" customHeight="1" spans="1:21">
      <c r="A37" s="3"/>
      <c r="B37" s="23"/>
      <c r="C37" s="21"/>
      <c r="D37" s="28" t="s">
        <v>16</v>
      </c>
      <c r="E37" s="42">
        <f>8.5</f>
        <v>8.5</v>
      </c>
      <c r="F37" s="47"/>
      <c r="G37" s="43"/>
      <c r="H37" s="49"/>
      <c r="I37" s="75"/>
      <c r="J37" s="76"/>
      <c r="K37" s="84"/>
      <c r="L37" s="78"/>
      <c r="M37" s="78"/>
      <c r="N37" s="108"/>
      <c r="O37" s="108"/>
      <c r="P37" s="108"/>
      <c r="Q37" s="136"/>
      <c r="R37" s="136"/>
      <c r="S37" s="136"/>
      <c r="T37" s="136"/>
      <c r="U37" s="91"/>
    </row>
    <row r="38" s="2" customFormat="1" ht="15.75" customHeight="1" spans="1:21">
      <c r="A38" s="3"/>
      <c r="B38" s="23"/>
      <c r="C38" s="21"/>
      <c r="D38" s="28" t="s">
        <v>18</v>
      </c>
      <c r="E38" s="42">
        <f>1.5+2+5+1.5</f>
        <v>10</v>
      </c>
      <c r="F38" s="47"/>
      <c r="G38" s="43"/>
      <c r="H38" s="49"/>
      <c r="I38" s="75"/>
      <c r="J38" s="76"/>
      <c r="K38" s="84"/>
      <c r="L38" s="88"/>
      <c r="M38" s="88"/>
      <c r="N38" s="88"/>
      <c r="O38" s="19"/>
      <c r="P38" s="117"/>
      <c r="Q38" s="136"/>
      <c r="R38" s="136"/>
      <c r="S38" s="136"/>
      <c r="T38" s="136"/>
      <c r="U38" s="91"/>
    </row>
    <row r="39" s="2" customFormat="1" ht="15" customHeight="1" spans="1:17">
      <c r="A39" s="3"/>
      <c r="B39" s="23"/>
      <c r="C39" s="21"/>
      <c r="D39" s="28" t="s">
        <v>26</v>
      </c>
      <c r="E39" s="42">
        <f>4+3+4+2.5+2</f>
        <v>15.5</v>
      </c>
      <c r="F39" s="47"/>
      <c r="G39" s="43"/>
      <c r="H39" s="49"/>
      <c r="I39" s="75"/>
      <c r="J39" s="76"/>
      <c r="K39" s="10"/>
      <c r="L39" s="92"/>
      <c r="M39" s="118"/>
      <c r="N39" s="119"/>
      <c r="O39" s="120"/>
      <c r="P39" s="121"/>
      <c r="Q39" s="13"/>
    </row>
    <row r="40" s="2" customFormat="1" hidden="1" spans="1:17">
      <c r="A40" s="3"/>
      <c r="B40" s="23"/>
      <c r="C40" s="21"/>
      <c r="D40" s="28"/>
      <c r="E40" s="42"/>
      <c r="F40" s="47"/>
      <c r="G40" s="43"/>
      <c r="H40" s="49"/>
      <c r="I40" s="75"/>
      <c r="J40" s="76"/>
      <c r="K40" s="72"/>
      <c r="L40" s="92"/>
      <c r="M40" s="118"/>
      <c r="N40" s="119"/>
      <c r="O40" s="120"/>
      <c r="P40" s="121"/>
      <c r="Q40" s="13"/>
    </row>
    <row r="41" s="2" customFormat="1" hidden="1" spans="1:17">
      <c r="A41" s="3"/>
      <c r="B41" s="23"/>
      <c r="C41" s="21"/>
      <c r="D41" s="28"/>
      <c r="E41" s="42"/>
      <c r="F41" s="47"/>
      <c r="G41" s="43"/>
      <c r="H41" s="49"/>
      <c r="I41" s="75"/>
      <c r="J41" s="76"/>
      <c r="K41" s="77"/>
      <c r="L41" s="92"/>
      <c r="M41" s="118"/>
      <c r="N41" s="119"/>
      <c r="O41" s="120"/>
      <c r="P41" s="121"/>
      <c r="Q41" s="13"/>
    </row>
    <row r="42" s="2" customFormat="1" hidden="1" spans="1:17">
      <c r="A42" s="3"/>
      <c r="B42" s="23"/>
      <c r="C42" s="21"/>
      <c r="D42" s="28"/>
      <c r="E42" s="42"/>
      <c r="F42" s="47"/>
      <c r="G42" s="43"/>
      <c r="H42" s="49"/>
      <c r="I42" s="75"/>
      <c r="J42" s="76"/>
      <c r="K42" s="72"/>
      <c r="L42" s="92"/>
      <c r="M42" s="118"/>
      <c r="N42" s="119"/>
      <c r="O42" s="120"/>
      <c r="P42" s="121"/>
      <c r="Q42" s="13"/>
    </row>
    <row r="43" s="2" customFormat="1" spans="1:17">
      <c r="A43" s="3"/>
      <c r="B43" s="23"/>
      <c r="C43" s="21"/>
      <c r="D43" s="28" t="s">
        <v>17</v>
      </c>
      <c r="E43" s="42">
        <f>2+4+1.5+2+2</f>
        <v>11.5</v>
      </c>
      <c r="F43" s="47"/>
      <c r="G43" s="43"/>
      <c r="H43" s="49"/>
      <c r="I43" s="75"/>
      <c r="J43" s="76"/>
      <c r="K43" s="72"/>
      <c r="L43" s="74"/>
      <c r="M43" s="74"/>
      <c r="N43" s="74"/>
      <c r="O43" s="122"/>
      <c r="P43" s="121"/>
      <c r="Q43" s="13"/>
    </row>
    <row r="44" s="2" customFormat="1" spans="1:17">
      <c r="A44" s="3"/>
      <c r="B44" s="23"/>
      <c r="C44" s="21"/>
      <c r="D44" s="28" t="s">
        <v>27</v>
      </c>
      <c r="E44" s="42">
        <f>2+1.5+3+3+2</f>
        <v>11.5</v>
      </c>
      <c r="F44" s="47"/>
      <c r="G44" s="43"/>
      <c r="H44" s="49"/>
      <c r="I44" s="75"/>
      <c r="J44" s="76"/>
      <c r="K44" s="72"/>
      <c r="L44" s="74"/>
      <c r="M44" s="78"/>
      <c r="N44" s="123"/>
      <c r="O44" s="124"/>
      <c r="P44" s="121"/>
      <c r="Q44" s="13"/>
    </row>
    <row r="45" s="2" customFormat="1" spans="1:17">
      <c r="A45" s="3"/>
      <c r="B45" s="23"/>
      <c r="C45" s="21"/>
      <c r="D45" s="28" t="s">
        <v>14</v>
      </c>
      <c r="E45" s="42">
        <f>8.5</f>
        <v>8.5</v>
      </c>
      <c r="F45" s="47"/>
      <c r="G45" s="43"/>
      <c r="H45" s="49"/>
      <c r="I45" s="75"/>
      <c r="J45" s="76"/>
      <c r="K45" s="72"/>
      <c r="L45" s="74"/>
      <c r="M45" s="125"/>
      <c r="N45" s="123"/>
      <c r="O45" s="124"/>
      <c r="P45" s="121"/>
      <c r="Q45" s="13"/>
    </row>
    <row r="46" s="2" customFormat="1" spans="1:17">
      <c r="A46" s="3"/>
      <c r="B46" s="23"/>
      <c r="C46" s="21"/>
      <c r="D46" s="28" t="s">
        <v>21</v>
      </c>
      <c r="E46" s="42">
        <f>3</f>
        <v>3</v>
      </c>
      <c r="F46" s="47"/>
      <c r="G46" s="43"/>
      <c r="H46" s="49"/>
      <c r="I46" s="75"/>
      <c r="J46" s="76"/>
      <c r="K46" s="72"/>
      <c r="L46" s="93"/>
      <c r="M46" s="125"/>
      <c r="N46" s="123"/>
      <c r="O46" s="124"/>
      <c r="P46" s="121"/>
      <c r="Q46" s="13"/>
    </row>
    <row r="47" s="2" customFormat="1" spans="1:17">
      <c r="A47" s="3"/>
      <c r="B47" s="23"/>
      <c r="C47" s="21"/>
      <c r="D47" s="28" t="s">
        <v>22</v>
      </c>
      <c r="E47" s="42">
        <f>3+5+5+4.5</f>
        <v>17.5</v>
      </c>
      <c r="F47" s="47"/>
      <c r="G47" s="43"/>
      <c r="H47" s="49"/>
      <c r="I47" s="75"/>
      <c r="J47" s="76"/>
      <c r="K47" s="72"/>
      <c r="L47" s="93"/>
      <c r="M47" s="125"/>
      <c r="N47" s="123"/>
      <c r="O47" s="124"/>
      <c r="P47" s="121"/>
      <c r="Q47" s="13"/>
    </row>
    <row r="48" s="2" customFormat="1" spans="1:17">
      <c r="A48" s="3"/>
      <c r="B48" s="23"/>
      <c r="C48" s="21"/>
      <c r="D48" s="28" t="s">
        <v>15</v>
      </c>
      <c r="E48" s="42">
        <f>6</f>
        <v>6</v>
      </c>
      <c r="F48" s="47"/>
      <c r="G48" s="43"/>
      <c r="H48" s="49"/>
      <c r="I48" s="75"/>
      <c r="J48" s="76"/>
      <c r="K48" s="72"/>
      <c r="L48" s="93"/>
      <c r="M48" s="125"/>
      <c r="N48" s="123"/>
      <c r="O48" s="124"/>
      <c r="P48" s="121"/>
      <c r="Q48" s="13"/>
    </row>
    <row r="49" s="2" customFormat="1" spans="1:19">
      <c r="A49" s="3"/>
      <c r="B49" s="24" t="s">
        <v>11</v>
      </c>
      <c r="C49" s="25"/>
      <c r="D49" s="26"/>
      <c r="E49" s="45">
        <f>SUM(E36:E48)</f>
        <v>120</v>
      </c>
      <c r="F49" s="25">
        <f>C36*E49</f>
        <v>1800</v>
      </c>
      <c r="G49" s="25">
        <v>0</v>
      </c>
      <c r="H49" s="25">
        <v>0</v>
      </c>
      <c r="I49" s="25">
        <v>0</v>
      </c>
      <c r="J49" s="71">
        <f>SUM(F49:H49)</f>
        <v>1800</v>
      </c>
      <c r="K49" s="77"/>
      <c r="L49" s="93"/>
      <c r="M49" s="125"/>
      <c r="N49" s="123"/>
      <c r="O49" s="124"/>
      <c r="P49" s="126"/>
      <c r="Q49" s="141"/>
      <c r="R49" s="133"/>
      <c r="S49" s="13"/>
    </row>
    <row r="50" s="4" customFormat="1" spans="1:26">
      <c r="A50" s="3"/>
      <c r="B50" s="23"/>
      <c r="C50" s="21"/>
      <c r="D50" s="22"/>
      <c r="E50" s="42"/>
      <c r="F50" s="47"/>
      <c r="G50" s="43"/>
      <c r="H50" s="49"/>
      <c r="I50" s="75"/>
      <c r="J50" s="94"/>
      <c r="K50" s="9"/>
      <c r="L50" s="10"/>
      <c r="M50" s="7"/>
      <c r="N50" s="10"/>
      <c r="O50" s="11"/>
      <c r="P50" s="7"/>
      <c r="R50" s="12"/>
      <c r="S50" s="13"/>
      <c r="T50" s="3"/>
      <c r="U50" s="3"/>
      <c r="V50" s="3"/>
      <c r="W50" s="3"/>
      <c r="X50" s="3"/>
      <c r="Y50" s="3"/>
      <c r="Z50" s="3"/>
    </row>
    <row r="51" s="4" customFormat="1" spans="1:26">
      <c r="A51" s="3"/>
      <c r="B51" s="20" t="s">
        <v>28</v>
      </c>
      <c r="C51" s="21">
        <v>16</v>
      </c>
      <c r="D51" s="28" t="s">
        <v>13</v>
      </c>
      <c r="E51" s="42">
        <f>10*8+4+6</f>
        <v>90</v>
      </c>
      <c r="F51" s="47"/>
      <c r="G51" s="43"/>
      <c r="H51" s="49"/>
      <c r="I51" s="75"/>
      <c r="J51" s="76"/>
      <c r="K51" s="9"/>
      <c r="L51" s="10"/>
      <c r="M51" s="7"/>
      <c r="N51" s="10"/>
      <c r="O51" s="11"/>
      <c r="P51" s="7"/>
      <c r="R51" s="12"/>
      <c r="S51" s="13"/>
      <c r="T51" s="3"/>
      <c r="U51" s="3"/>
      <c r="V51" s="3"/>
      <c r="W51" s="3"/>
      <c r="X51" s="3"/>
      <c r="Y51" s="3"/>
      <c r="Z51" s="3"/>
    </row>
    <row r="52" s="3" customFormat="1" spans="2:19">
      <c r="B52" s="23"/>
      <c r="C52" s="21"/>
      <c r="D52" s="28" t="s">
        <v>27</v>
      </c>
      <c r="E52" s="42">
        <f>9.5+10</f>
        <v>19.5</v>
      </c>
      <c r="F52" s="47"/>
      <c r="G52" s="43">
        <f>27.96</f>
        <v>27.96</v>
      </c>
      <c r="H52" s="49"/>
      <c r="I52" s="75"/>
      <c r="J52" s="76"/>
      <c r="K52" s="9"/>
      <c r="L52" s="10"/>
      <c r="M52" s="7"/>
      <c r="N52" s="10"/>
      <c r="O52" s="11"/>
      <c r="P52" s="7"/>
      <c r="Q52" s="4"/>
      <c r="R52" s="12"/>
      <c r="S52" s="13"/>
    </row>
    <row r="53" s="3" customFormat="1" spans="2:19">
      <c r="B53" s="24" t="s">
        <v>11</v>
      </c>
      <c r="C53" s="25"/>
      <c r="D53" s="26"/>
      <c r="E53" s="45">
        <f>SUM(E51:E52)</f>
        <v>109.5</v>
      </c>
      <c r="F53" s="25">
        <f>C51*E53</f>
        <v>1752</v>
      </c>
      <c r="G53" s="25">
        <f>SUM(G52)</f>
        <v>27.96</v>
      </c>
      <c r="H53" s="25">
        <v>0</v>
      </c>
      <c r="I53" s="25">
        <v>0</v>
      </c>
      <c r="J53" s="71">
        <f>SUM(F53:H53)</f>
        <v>1779.96</v>
      </c>
      <c r="K53" s="9"/>
      <c r="L53" s="10"/>
      <c r="M53" s="7"/>
      <c r="N53" s="10"/>
      <c r="O53" s="11"/>
      <c r="P53" s="7"/>
      <c r="Q53" s="4"/>
      <c r="R53" s="12"/>
      <c r="S53" s="13"/>
    </row>
    <row r="54" s="3" customFormat="1" spans="2:19">
      <c r="B54" s="23"/>
      <c r="C54" s="21"/>
      <c r="D54" s="22"/>
      <c r="E54" s="42"/>
      <c r="F54" s="47"/>
      <c r="G54" s="43"/>
      <c r="H54" s="49"/>
      <c r="I54" s="75"/>
      <c r="J54" s="94"/>
      <c r="K54" s="9"/>
      <c r="L54" s="10"/>
      <c r="M54" s="7"/>
      <c r="N54" s="10"/>
      <c r="O54" s="11"/>
      <c r="P54" s="7"/>
      <c r="Q54" s="4"/>
      <c r="R54" s="12"/>
      <c r="S54" s="13"/>
    </row>
    <row r="55" s="4" customFormat="1" spans="1:26">
      <c r="A55" s="3"/>
      <c r="B55" s="20" t="s">
        <v>29</v>
      </c>
      <c r="C55" s="21">
        <v>17</v>
      </c>
      <c r="D55" s="28" t="s">
        <v>26</v>
      </c>
      <c r="E55" s="42">
        <f>11+10.5+11+10.5+10+11+11+10.5+10.5</f>
        <v>96</v>
      </c>
      <c r="F55" s="59"/>
      <c r="G55" s="48">
        <f>37.65+11.63+13.18+33.18+38.99</f>
        <v>134.63</v>
      </c>
      <c r="H55" s="49"/>
      <c r="I55" s="75"/>
      <c r="J55" s="76"/>
      <c r="K55" s="9"/>
      <c r="L55" s="10"/>
      <c r="N55" s="10"/>
      <c r="O55" s="11"/>
      <c r="P55" s="7"/>
      <c r="R55" s="12"/>
      <c r="S55" s="13"/>
      <c r="T55" s="3"/>
      <c r="U55" s="3"/>
      <c r="V55" s="3"/>
      <c r="W55" s="3"/>
      <c r="X55" s="3"/>
      <c r="Y55" s="3"/>
      <c r="Z55" s="3"/>
    </row>
    <row r="56" s="3" customFormat="1" spans="2:19">
      <c r="B56" s="23"/>
      <c r="C56" s="21"/>
      <c r="D56" s="28"/>
      <c r="E56" s="42"/>
      <c r="F56" s="47"/>
      <c r="G56" s="43"/>
      <c r="H56" s="49"/>
      <c r="I56" s="75"/>
      <c r="J56" s="76"/>
      <c r="K56" s="9"/>
      <c r="L56" s="10"/>
      <c r="M56" s="7"/>
      <c r="N56" s="10"/>
      <c r="O56" s="11"/>
      <c r="P56" s="7"/>
      <c r="Q56" s="4"/>
      <c r="R56" s="12"/>
      <c r="S56" s="13"/>
    </row>
    <row r="57" s="3" customFormat="1" spans="2:19">
      <c r="B57" s="24" t="s">
        <v>11</v>
      </c>
      <c r="C57" s="25"/>
      <c r="D57" s="26"/>
      <c r="E57" s="45">
        <f>SUM(E55:E56)</f>
        <v>96</v>
      </c>
      <c r="F57" s="25">
        <f>C55*E57</f>
        <v>1632</v>
      </c>
      <c r="G57" s="25">
        <f>SUM(G55:G56)</f>
        <v>134.63</v>
      </c>
      <c r="H57" s="25">
        <v>0</v>
      </c>
      <c r="I57" s="25">
        <v>0</v>
      </c>
      <c r="J57" s="71">
        <f>SUM(F57:H57)</f>
        <v>1766.63</v>
      </c>
      <c r="K57" s="95"/>
      <c r="L57" s="10"/>
      <c r="M57" s="7"/>
      <c r="N57" s="10"/>
      <c r="O57" s="11"/>
      <c r="P57" s="7"/>
      <c r="Q57" s="4"/>
      <c r="R57" s="12"/>
      <c r="S57" s="13"/>
    </row>
    <row r="58" s="3" customFormat="1" spans="2:19">
      <c r="B58" s="23"/>
      <c r="C58" s="21"/>
      <c r="D58" s="22"/>
      <c r="E58" s="42"/>
      <c r="F58" s="47"/>
      <c r="G58" s="43"/>
      <c r="H58" s="49"/>
      <c r="I58" s="75"/>
      <c r="J58" s="94"/>
      <c r="K58" s="9"/>
      <c r="L58" s="10"/>
      <c r="M58" s="7"/>
      <c r="N58" s="10"/>
      <c r="O58" s="11"/>
      <c r="P58" s="7"/>
      <c r="Q58" s="4"/>
      <c r="R58" s="12"/>
      <c r="S58" s="13"/>
    </row>
    <row r="59" s="4" customFormat="1" spans="1:26">
      <c r="A59" s="3"/>
      <c r="B59" s="20" t="s">
        <v>30</v>
      </c>
      <c r="C59" s="21">
        <v>18</v>
      </c>
      <c r="D59" s="28" t="s">
        <v>13</v>
      </c>
      <c r="E59" s="42">
        <f>10*3+6</f>
        <v>36</v>
      </c>
      <c r="F59" s="59"/>
      <c r="G59" s="48"/>
      <c r="H59" s="49"/>
      <c r="I59" s="75"/>
      <c r="J59" s="76"/>
      <c r="K59" s="9"/>
      <c r="L59" s="10"/>
      <c r="N59" s="10"/>
      <c r="O59" s="11"/>
      <c r="P59" s="7"/>
      <c r="R59" s="12"/>
      <c r="S59" s="13"/>
      <c r="T59" s="3"/>
      <c r="U59" s="3"/>
      <c r="V59" s="3"/>
      <c r="W59" s="3"/>
      <c r="X59" s="3"/>
      <c r="Y59" s="3"/>
      <c r="Z59" s="3"/>
    </row>
    <row r="60" s="4" customFormat="1" spans="1:26">
      <c r="A60" s="3"/>
      <c r="B60" s="23"/>
      <c r="C60" s="21"/>
      <c r="D60" s="28" t="s">
        <v>22</v>
      </c>
      <c r="E60" s="42">
        <f>9.5</f>
        <v>9.5</v>
      </c>
      <c r="F60" s="59"/>
      <c r="G60" s="48"/>
      <c r="H60" s="49"/>
      <c r="I60" s="75"/>
      <c r="J60" s="76"/>
      <c r="K60" s="9"/>
      <c r="L60" s="10"/>
      <c r="N60" s="10"/>
      <c r="O60" s="11"/>
      <c r="P60" s="7"/>
      <c r="R60" s="12"/>
      <c r="S60" s="13"/>
      <c r="T60" s="3"/>
      <c r="U60" s="3"/>
      <c r="V60" s="3"/>
      <c r="W60" s="3"/>
      <c r="X60" s="3"/>
      <c r="Y60" s="3"/>
      <c r="Z60" s="3"/>
    </row>
    <row r="61" s="3" customFormat="1" spans="2:19">
      <c r="B61" s="23"/>
      <c r="C61" s="21"/>
      <c r="D61" s="28" t="s">
        <v>15</v>
      </c>
      <c r="E61" s="42">
        <f>9.5</f>
        <v>9.5</v>
      </c>
      <c r="F61" s="47"/>
      <c r="G61" s="43"/>
      <c r="H61" s="49"/>
      <c r="I61" s="75"/>
      <c r="J61" s="76"/>
      <c r="K61" s="9"/>
      <c r="L61" s="10"/>
      <c r="M61" s="7"/>
      <c r="N61" s="10"/>
      <c r="O61" s="11"/>
      <c r="P61" s="7"/>
      <c r="Q61" s="4"/>
      <c r="R61" s="12"/>
      <c r="S61" s="13"/>
    </row>
    <row r="62" s="3" customFormat="1" spans="2:19">
      <c r="B62" s="24" t="s">
        <v>11</v>
      </c>
      <c r="C62" s="25"/>
      <c r="D62" s="26"/>
      <c r="E62" s="45">
        <f>SUM(E59:E61)</f>
        <v>55</v>
      </c>
      <c r="F62" s="25">
        <f>C59*E62</f>
        <v>990</v>
      </c>
      <c r="G62" s="25">
        <v>0</v>
      </c>
      <c r="H62" s="25">
        <v>0</v>
      </c>
      <c r="I62" s="25">
        <v>0</v>
      </c>
      <c r="J62" s="71">
        <f>SUM(F62:H62)</f>
        <v>990</v>
      </c>
      <c r="K62" s="95"/>
      <c r="L62" s="10"/>
      <c r="M62" s="7"/>
      <c r="N62" s="10"/>
      <c r="O62" s="11"/>
      <c r="P62" s="7"/>
      <c r="Q62" s="4"/>
      <c r="R62" s="12"/>
      <c r="S62" s="13"/>
    </row>
    <row r="63" s="3" customFormat="1" spans="2:15">
      <c r="B63" s="23"/>
      <c r="C63" s="21"/>
      <c r="D63" s="22"/>
      <c r="E63" s="42"/>
      <c r="F63" s="47"/>
      <c r="G63" s="43"/>
      <c r="H63" s="47"/>
      <c r="I63" s="47"/>
      <c r="J63" s="94"/>
      <c r="K63" s="96"/>
      <c r="L63" s="97"/>
      <c r="M63" s="97"/>
      <c r="N63" s="127"/>
      <c r="O63" s="127"/>
    </row>
    <row r="64" s="3" customFormat="1" spans="2:15">
      <c r="B64" s="20" t="s">
        <v>31</v>
      </c>
      <c r="C64" s="21">
        <v>19</v>
      </c>
      <c r="D64" s="28" t="s">
        <v>13</v>
      </c>
      <c r="E64" s="42">
        <f>9.5*4+10*3</f>
        <v>68</v>
      </c>
      <c r="F64" s="47"/>
      <c r="G64" s="48"/>
      <c r="H64" s="47"/>
      <c r="I64" s="98">
        <f>40</f>
        <v>40</v>
      </c>
      <c r="J64" s="76"/>
      <c r="K64" s="99"/>
      <c r="L64" s="100"/>
      <c r="M64" s="128"/>
      <c r="N64" s="129"/>
      <c r="O64" s="67"/>
    </row>
    <row r="65" s="3" customFormat="1" ht="16.8" spans="2:15">
      <c r="B65" s="23"/>
      <c r="C65" s="143"/>
      <c r="D65" s="28" t="s">
        <v>22</v>
      </c>
      <c r="E65" s="42">
        <f>9.5+10+10+9+4.75</f>
        <v>43.25</v>
      </c>
      <c r="F65" s="47"/>
      <c r="G65" s="43"/>
      <c r="H65" s="47"/>
      <c r="I65" s="57"/>
      <c r="J65" s="76"/>
      <c r="K65" s="97"/>
      <c r="L65" s="100"/>
      <c r="M65" s="148"/>
      <c r="N65" s="149"/>
      <c r="O65" s="67"/>
    </row>
    <row r="66" s="3" customFormat="1" ht="16.8" spans="2:15">
      <c r="B66" s="23"/>
      <c r="C66" s="143"/>
      <c r="D66" s="28" t="s">
        <v>15</v>
      </c>
      <c r="E66" s="42">
        <f>4.75</f>
        <v>4.75</v>
      </c>
      <c r="F66" s="47"/>
      <c r="G66" s="43"/>
      <c r="H66" s="47"/>
      <c r="I66" s="57"/>
      <c r="J66" s="76"/>
      <c r="K66" s="97"/>
      <c r="L66" s="100"/>
      <c r="M66" s="148"/>
      <c r="N66" s="149"/>
      <c r="O66" s="67"/>
    </row>
    <row r="67" s="3" customFormat="1" spans="2:15">
      <c r="B67" s="24" t="s">
        <v>11</v>
      </c>
      <c r="C67" s="25"/>
      <c r="D67" s="26"/>
      <c r="E67" s="144">
        <f>SUM(E64:E66)</f>
        <v>116</v>
      </c>
      <c r="F67" s="25">
        <f>C64*E67</f>
        <v>2204</v>
      </c>
      <c r="G67" s="25">
        <v>0</v>
      </c>
      <c r="H67" s="25">
        <v>0</v>
      </c>
      <c r="I67" s="25">
        <f>SUM(I64:I66)</f>
        <v>40</v>
      </c>
      <c r="J67" s="71">
        <f>SUM(F67:I67)</f>
        <v>2244</v>
      </c>
      <c r="K67" s="145"/>
      <c r="L67" s="100"/>
      <c r="M67" s="150"/>
      <c r="N67" s="149"/>
      <c r="O67" s="67"/>
    </row>
    <row r="68" s="3" customFormat="1" spans="2:15">
      <c r="B68" s="5"/>
      <c r="C68" s="6"/>
      <c r="D68" s="5"/>
      <c r="E68" s="7"/>
      <c r="F68" s="6"/>
      <c r="G68" s="6"/>
      <c r="H68" s="8"/>
      <c r="I68" s="8"/>
      <c r="J68" s="9"/>
      <c r="K68" s="99"/>
      <c r="L68" s="100"/>
      <c r="M68" s="150"/>
      <c r="N68" s="149"/>
      <c r="O68" s="67"/>
    </row>
    <row r="69" s="3" customFormat="1" spans="2:15">
      <c r="B69" s="5"/>
      <c r="C69" s="6"/>
      <c r="D69" s="5"/>
      <c r="E69" s="7"/>
      <c r="F69" s="6"/>
      <c r="G69" s="6"/>
      <c r="H69" s="8"/>
      <c r="I69" s="8"/>
      <c r="J69" s="9"/>
      <c r="K69" s="99"/>
      <c r="L69" s="100"/>
      <c r="M69" s="151"/>
      <c r="N69" s="149"/>
      <c r="O69" s="67"/>
    </row>
    <row r="70" s="3" customFormat="1" spans="2:15">
      <c r="B70" s="5"/>
      <c r="C70" s="6"/>
      <c r="D70" s="5"/>
      <c r="E70" s="7"/>
      <c r="F70" s="6"/>
      <c r="G70" s="6"/>
      <c r="H70" s="8"/>
      <c r="I70" s="8"/>
      <c r="J70" s="9"/>
      <c r="K70" s="99"/>
      <c r="L70" s="100"/>
      <c r="M70" s="148"/>
      <c r="N70" s="149"/>
      <c r="O70" s="67"/>
    </row>
    <row r="71" s="3" customFormat="1" spans="2:15">
      <c r="B71" s="5"/>
      <c r="C71" s="6"/>
      <c r="D71" s="5"/>
      <c r="E71" s="7"/>
      <c r="F71" s="6"/>
      <c r="G71" s="6"/>
      <c r="H71" s="8"/>
      <c r="I71" s="8"/>
      <c r="J71" s="9"/>
      <c r="K71" s="99"/>
      <c r="L71" s="100"/>
      <c r="M71" s="152"/>
      <c r="N71" s="149"/>
      <c r="O71" s="67"/>
    </row>
    <row r="72" s="3" customFormat="1" spans="2:15">
      <c r="B72" s="5"/>
      <c r="C72" s="6"/>
      <c r="D72" s="5"/>
      <c r="E72" s="7"/>
      <c r="F72" s="6"/>
      <c r="G72" s="6"/>
      <c r="H72" s="8"/>
      <c r="I72" s="8"/>
      <c r="J72" s="9"/>
      <c r="K72" s="99"/>
      <c r="L72" s="100"/>
      <c r="M72" s="148"/>
      <c r="N72" s="149"/>
      <c r="O72" s="67"/>
    </row>
    <row r="73" s="3" customFormat="1" spans="2:15">
      <c r="B73" s="5"/>
      <c r="C73" s="6"/>
      <c r="D73" s="5"/>
      <c r="E73" s="7"/>
      <c r="F73" s="6"/>
      <c r="G73" s="6"/>
      <c r="H73" s="8"/>
      <c r="I73" s="8"/>
      <c r="J73" s="9"/>
      <c r="K73" s="99"/>
      <c r="L73" s="100"/>
      <c r="M73" s="150"/>
      <c r="N73" s="149"/>
      <c r="O73" s="67"/>
    </row>
    <row r="74" s="3" customFormat="1" spans="2:15">
      <c r="B74" s="5"/>
      <c r="C74" s="6"/>
      <c r="D74" s="5"/>
      <c r="E74" s="7"/>
      <c r="F74" s="6"/>
      <c r="G74" s="6"/>
      <c r="H74" s="8"/>
      <c r="I74" s="8"/>
      <c r="J74" s="9"/>
      <c r="K74" s="99"/>
      <c r="L74" s="100"/>
      <c r="M74" s="148"/>
      <c r="N74" s="149"/>
      <c r="O74" s="67"/>
    </row>
    <row r="75" s="3" customFormat="1" spans="2:15">
      <c r="B75" s="5"/>
      <c r="C75" s="6"/>
      <c r="D75" s="5"/>
      <c r="E75" s="7"/>
      <c r="F75" s="6"/>
      <c r="G75" s="6"/>
      <c r="H75" s="8"/>
      <c r="I75" s="8"/>
      <c r="J75" s="9"/>
      <c r="K75" s="99"/>
      <c r="L75" s="100"/>
      <c r="M75" s="148"/>
      <c r="N75" s="149"/>
      <c r="O75" s="67"/>
    </row>
    <row r="76" s="3" customFormat="1" spans="2:15">
      <c r="B76" s="5"/>
      <c r="C76" s="6"/>
      <c r="D76" s="5"/>
      <c r="E76" s="7"/>
      <c r="F76" s="6"/>
      <c r="G76" s="6"/>
      <c r="H76" s="8"/>
      <c r="I76" s="8"/>
      <c r="J76" s="9"/>
      <c r="K76" s="99"/>
      <c r="L76" s="100"/>
      <c r="M76" s="148"/>
      <c r="N76" s="149"/>
      <c r="O76" s="67"/>
    </row>
    <row r="77" s="3" customFormat="1" spans="2:15">
      <c r="B77" s="5"/>
      <c r="C77" s="6"/>
      <c r="D77" s="5"/>
      <c r="E77" s="7"/>
      <c r="F77" s="6"/>
      <c r="G77" s="6"/>
      <c r="H77" s="8"/>
      <c r="I77" s="8"/>
      <c r="J77" s="9"/>
      <c r="K77" s="99"/>
      <c r="L77" s="100"/>
      <c r="M77" s="148"/>
      <c r="N77" s="149"/>
      <c r="O77" s="67"/>
    </row>
    <row r="78" s="3" customFormat="1" spans="2:15">
      <c r="B78" s="5"/>
      <c r="C78" s="6"/>
      <c r="D78" s="5"/>
      <c r="E78" s="7"/>
      <c r="F78" s="6"/>
      <c r="G78" s="6"/>
      <c r="H78" s="8"/>
      <c r="I78" s="8"/>
      <c r="J78" s="9"/>
      <c r="K78" s="99"/>
      <c r="L78" s="100"/>
      <c r="M78" s="150"/>
      <c r="N78" s="149"/>
      <c r="O78" s="67"/>
    </row>
    <row r="79" s="3" customFormat="1" spans="2:15">
      <c r="B79" s="5"/>
      <c r="C79" s="6"/>
      <c r="D79" s="5"/>
      <c r="E79" s="7"/>
      <c r="F79" s="6"/>
      <c r="G79" s="6"/>
      <c r="H79" s="8"/>
      <c r="I79" s="8"/>
      <c r="J79" s="9"/>
      <c r="K79" s="99"/>
      <c r="L79" s="100"/>
      <c r="M79" s="150"/>
      <c r="N79" s="149"/>
      <c r="O79" s="67"/>
    </row>
    <row r="80" s="3" customFormat="1" spans="2:15">
      <c r="B80" s="5"/>
      <c r="C80" s="6"/>
      <c r="D80" s="5"/>
      <c r="E80" s="7"/>
      <c r="F80" s="6"/>
      <c r="G80" s="6"/>
      <c r="H80" s="8"/>
      <c r="I80" s="8"/>
      <c r="J80" s="9"/>
      <c r="K80" s="99"/>
      <c r="L80" s="100"/>
      <c r="M80" s="148"/>
      <c r="N80" s="149"/>
      <c r="O80" s="67"/>
    </row>
    <row r="81" s="3" customFormat="1" spans="2:15">
      <c r="B81" s="5"/>
      <c r="C81" s="6"/>
      <c r="D81" s="5"/>
      <c r="E81" s="7"/>
      <c r="F81" s="6"/>
      <c r="G81" s="6"/>
      <c r="H81" s="8"/>
      <c r="I81" s="8"/>
      <c r="J81" s="9"/>
      <c r="K81" s="99"/>
      <c r="L81" s="100"/>
      <c r="M81" s="148"/>
      <c r="N81" s="149"/>
      <c r="O81" s="67"/>
    </row>
    <row r="82" s="3" customFormat="1" spans="2:15">
      <c r="B82" s="5"/>
      <c r="C82" s="6"/>
      <c r="D82" s="5"/>
      <c r="E82" s="7"/>
      <c r="F82" s="6"/>
      <c r="G82" s="6"/>
      <c r="H82" s="8"/>
      <c r="I82" s="8"/>
      <c r="J82" s="9"/>
      <c r="K82" s="99"/>
      <c r="L82" s="100"/>
      <c r="M82" s="150"/>
      <c r="N82" s="149"/>
      <c r="O82" s="67"/>
    </row>
    <row r="83" s="3" customFormat="1" spans="2:15">
      <c r="B83" s="5"/>
      <c r="C83" s="6"/>
      <c r="D83" s="5"/>
      <c r="E83" s="7"/>
      <c r="F83" s="6"/>
      <c r="G83" s="6"/>
      <c r="H83" s="8"/>
      <c r="I83" s="8"/>
      <c r="J83" s="9"/>
      <c r="K83" s="99"/>
      <c r="L83" s="100"/>
      <c r="M83" s="150"/>
      <c r="N83" s="149"/>
      <c r="O83" s="67"/>
    </row>
    <row r="84" s="3" customFormat="1" spans="2:15">
      <c r="B84" s="5"/>
      <c r="C84" s="6"/>
      <c r="D84" s="5"/>
      <c r="E84" s="7"/>
      <c r="F84" s="6"/>
      <c r="G84" s="6"/>
      <c r="H84" s="8"/>
      <c r="I84" s="8"/>
      <c r="J84" s="9"/>
      <c r="K84" s="99"/>
      <c r="L84" s="100"/>
      <c r="M84" s="148"/>
      <c r="N84" s="149"/>
      <c r="O84" s="67"/>
    </row>
    <row r="85" s="3" customFormat="1" spans="2:19">
      <c r="B85" s="5"/>
      <c r="C85" s="6"/>
      <c r="D85" s="5"/>
      <c r="E85" s="7"/>
      <c r="F85" s="6"/>
      <c r="G85" s="6"/>
      <c r="H85" s="8"/>
      <c r="I85" s="8"/>
      <c r="J85" s="9"/>
      <c r="K85" s="99"/>
      <c r="L85" s="100"/>
      <c r="M85" s="148"/>
      <c r="N85" s="149"/>
      <c r="O85" s="67"/>
      <c r="P85" s="7"/>
      <c r="Q85" s="4"/>
      <c r="R85" s="12"/>
      <c r="S85" s="13"/>
    </row>
    <row r="86" s="3" customFormat="1" spans="2:19">
      <c r="B86" s="5"/>
      <c r="C86" s="6"/>
      <c r="D86" s="5"/>
      <c r="E86" s="7"/>
      <c r="F86" s="6"/>
      <c r="G86" s="6"/>
      <c r="H86" s="8"/>
      <c r="I86" s="8"/>
      <c r="J86" s="9"/>
      <c r="K86" s="99"/>
      <c r="L86" s="100"/>
      <c r="M86" s="148"/>
      <c r="N86" s="149"/>
      <c r="O86" s="67"/>
      <c r="P86" s="7"/>
      <c r="Q86" s="4"/>
      <c r="R86" s="12"/>
      <c r="S86" s="13"/>
    </row>
    <row r="87" s="3" customFormat="1" spans="2:19">
      <c r="B87" s="5"/>
      <c r="C87" s="6"/>
      <c r="D87" s="5"/>
      <c r="E87" s="7"/>
      <c r="F87" s="6"/>
      <c r="G87" s="6"/>
      <c r="H87" s="8"/>
      <c r="I87" s="8"/>
      <c r="J87" s="9"/>
      <c r="K87" s="99"/>
      <c r="L87" s="100"/>
      <c r="M87" s="150"/>
      <c r="N87" s="149"/>
      <c r="O87" s="67"/>
      <c r="P87" s="7"/>
      <c r="Q87" s="4"/>
      <c r="R87" s="12"/>
      <c r="S87" s="13"/>
    </row>
    <row r="88" s="3" customFormat="1" spans="2:19">
      <c r="B88" s="5"/>
      <c r="C88" s="6"/>
      <c r="D88" s="5"/>
      <c r="E88" s="7"/>
      <c r="F88" s="6"/>
      <c r="G88" s="6"/>
      <c r="H88" s="8"/>
      <c r="I88" s="8"/>
      <c r="J88" s="9"/>
      <c r="K88" s="99"/>
      <c r="L88" s="100"/>
      <c r="M88" s="148"/>
      <c r="N88" s="149"/>
      <c r="O88" s="67"/>
      <c r="P88" s="7"/>
      <c r="Q88" s="4"/>
      <c r="R88" s="12"/>
      <c r="S88" s="13"/>
    </row>
    <row r="89" s="3" customFormat="1" spans="2:19">
      <c r="B89" s="5"/>
      <c r="C89" s="6"/>
      <c r="D89" s="5"/>
      <c r="E89" s="7"/>
      <c r="F89" s="6"/>
      <c r="G89" s="6"/>
      <c r="H89" s="8"/>
      <c r="I89" s="8"/>
      <c r="J89" s="9"/>
      <c r="K89" s="99"/>
      <c r="L89" s="146"/>
      <c r="M89" s="88"/>
      <c r="N89" s="146"/>
      <c r="O89" s="153"/>
      <c r="P89" s="7"/>
      <c r="Q89" s="4"/>
      <c r="R89" s="12"/>
      <c r="S89" s="13"/>
    </row>
    <row r="90" s="3" customFormat="1" spans="2:19">
      <c r="B90" s="5"/>
      <c r="C90" s="6"/>
      <c r="D90" s="5"/>
      <c r="E90" s="7"/>
      <c r="F90" s="6"/>
      <c r="G90" s="6"/>
      <c r="H90" s="8"/>
      <c r="I90" s="8"/>
      <c r="J90" s="9"/>
      <c r="K90" s="99"/>
      <c r="L90" s="147"/>
      <c r="M90" s="154"/>
      <c r="N90" s="147"/>
      <c r="O90" s="155"/>
      <c r="P90" s="7"/>
      <c r="Q90" s="4"/>
      <c r="R90" s="12"/>
      <c r="S90" s="1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ryanzhang</dc:creator>
  <cp:lastModifiedBy>zhang ryan</cp:lastModifiedBy>
  <dcterms:created xsi:type="dcterms:W3CDTF">2026-03-25T19:49:24Z</dcterms:created>
  <dcterms:modified xsi:type="dcterms:W3CDTF">2026-03-25T19:49:33Z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F02F3BD9D1420874B49EC4692664B071_41</vt:lpwstr>
  </property>
  <property fmtid="{D5CDD505-2E9C-101B-9397-08002B2CF9AE}" pid="3" name="KSOProductBuildVer">
    <vt:lpwstr>1033-12.1.23135.23135</vt:lpwstr>
  </property>
</Properties>
</file>
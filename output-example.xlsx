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460"/>
  </bookViews>
  <sheets>
    <sheet name="7217 Bridlewood" sheetId="2" r:id="rId1"/>
    <sheet name="1323 Homer" sheetId="3" r:id="rId2"/>
    <sheet name="1171 Jervis Stree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<sst xmlns="http://schemas.openxmlformats.org/spreadsheetml/2006/main" count="94" uniqueCount="53">
  <si>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单号</t>
  </si>
  <si>
    <t>负责人</t>
  </si>
  <si>
    <t>客户名+项目</t>
  </si>
  <si>
    <t>日期</t>
  </si>
  <si>
    <t>工人</t>
  </si>
  <si>
    <t>工时</t>
  </si>
  <si>
    <t>hourly rate</t>
  </si>
  <si>
    <t>开销</t>
  </si>
  <si>
    <t>其他开销</t>
  </si>
  <si>
    <t>Note</t>
  </si>
  <si>
    <t>材料开销</t>
  </si>
  <si>
    <t>Chi Man</t>
  </si>
  <si>
    <t>3月上</t>
  </si>
  <si>
    <t>阿华</t>
  </si>
  <si>
    <t>电工定金</t>
  </si>
  <si>
    <t>7217 Bridlewood</t>
  </si>
  <si>
    <t>钢梁定金</t>
  </si>
  <si>
    <t>Burnaby</t>
  </si>
  <si>
    <t>Andy水工80%</t>
  </si>
  <si>
    <t>第一笔款</t>
  </si>
  <si>
    <t>定金不到10</t>
  </si>
  <si>
    <t>第二笔款</t>
  </si>
  <si>
    <t>第三笔款</t>
  </si>
  <si>
    <t>总开销</t>
  </si>
  <si>
    <t>总价格</t>
  </si>
  <si>
    <t>利润率</t>
  </si>
  <si>
    <t>Stefan</t>
  </si>
  <si>
    <t>1月上</t>
  </si>
  <si>
    <t>老赵</t>
  </si>
  <si>
    <t>补砖</t>
  </si>
  <si>
    <t>1323 Homer</t>
  </si>
  <si>
    <t>老赵材料</t>
  </si>
  <si>
    <t>Vancouver</t>
  </si>
  <si>
    <t>EF把手</t>
  </si>
  <si>
    <t>Aaron 水工</t>
  </si>
  <si>
    <t>2月19</t>
  </si>
  <si>
    <t>玻璃门</t>
  </si>
  <si>
    <t>2月25</t>
  </si>
  <si>
    <t>Chris 台面</t>
  </si>
  <si>
    <t>3月1</t>
  </si>
  <si>
    <t>支票-5%</t>
  </si>
  <si>
    <t xml:space="preserve">unit 1004 </t>
  </si>
  <si>
    <t>Manny</t>
  </si>
  <si>
    <t>Jacky</t>
  </si>
  <si>
    <t>台面订金</t>
  </si>
  <si>
    <t>2月10</t>
  </si>
  <si>
    <t>1171 Jervis Street</t>
  </si>
  <si>
    <t>灯片</t>
  </si>
  <si>
    <t>2月12</t>
  </si>
  <si>
    <t>台面尾款</t>
  </si>
  <si>
    <t>3月4</t>
  </si>
  <si>
    <t>jacky材料</t>
  </si>
  <si>
    <t>50%%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</si>
</sst>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dd\-mmm"/>
  </numFmts>
  <fonts count="26">
    <font>
      <sz val="12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0.5"/>
      <color rgb="FF454545"/>
      <name val="Aptos Narrow"/>
      <charset val="134"/>
      <scheme val="minor"/>
    </font>
    <font>
      <sz val="9.75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vertical="center"/>
    </xf>
    <xf numFmtId="4" fontId="1" fillId="0" borderId="2" xfId="0" applyNumberFormat="1" applyFont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9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1" fillId="0" borderId="1" xfId="3" applyFont="1" applyBorder="1" applyAlignment="1">
      <alignment horizontal="right" wrapText="1"/>
    </xf>
    <xf numFmtId="0" fontId="2" fillId="0" borderId="1" xfId="2" applyNumberFormat="1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1" fillId="0" borderId="1" xfId="2" applyNumberFormat="1" applyFont="1" applyBorder="1" applyAlignment="1">
      <alignment wrapText="1"/>
    </xf>
    <xf numFmtId="4" fontId="4" fillId="0" borderId="0" xfId="0" applyNumberFormat="1" applyFont="1" applyAlignment="1">
      <alignment vertical="center"/>
    </xf>
    <xf numFmtId="58" fontId="0" fillId="0" borderId="0" xfId="0" applyNumberFormat="1" applyAlignment="1">
      <alignment vertical="center"/>
    </xf>
    <xf numFmtId="58" fontId="3" fillId="0" borderId="0" xfId="0" applyNumberFormat="1" applyFont="1" applyAlignment="1">
      <alignment vertical="center"/>
    </xf>
    <xf numFmtId="0" fontId="1" fillId="0" borderId="2" xfId="0" applyFont="1" applyBorder="1" applyAlignment="1">
      <alignment wrapText="1"/>
    </xf>
    <xf numFmtId="177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J9" sqref="J9"/>
    </sheetView>
  </sheetViews>
  <sheetFormatPr defaultColWidth="8.88888888888889" defaultRowHeight="17.6"/>
  <sheetData>
    <row r="1" ht="18.35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6"/>
      <c r="M1" s="6"/>
    </row>
    <row r="2" ht="18.35" spans="1:13">
      <c r="A2" s="3"/>
      <c r="B2" s="3"/>
      <c r="C2" s="3" t="s">
        <v>11</v>
      </c>
      <c r="D2" s="4" t="s">
        <v>12</v>
      </c>
      <c r="E2" s="3" t="s">
        <v>13</v>
      </c>
      <c r="F2" s="6">
        <v>49.5</v>
      </c>
      <c r="G2" s="6">
        <v>14</v>
      </c>
      <c r="H2" s="6">
        <f t="shared" ref="H2:H18" si="0">F2*G2</f>
        <v>693</v>
      </c>
      <c r="I2" s="6"/>
      <c r="J2" s="6"/>
      <c r="K2" s="6">
        <v>6300</v>
      </c>
      <c r="L2" s="3" t="s">
        <v>14</v>
      </c>
      <c r="M2" s="6"/>
    </row>
    <row r="3" ht="18.35" spans="1:13">
      <c r="A3" s="1"/>
      <c r="B3" s="1"/>
      <c r="C3" s="3" t="s">
        <v>15</v>
      </c>
      <c r="D3" s="5"/>
      <c r="E3" s="1"/>
      <c r="F3" s="5"/>
      <c r="G3" s="5"/>
      <c r="H3" s="6">
        <f t="shared" si="0"/>
        <v>0</v>
      </c>
      <c r="I3" s="1"/>
      <c r="J3" s="6"/>
      <c r="K3" s="6">
        <v>1000</v>
      </c>
      <c r="L3" s="3" t="s">
        <v>16</v>
      </c>
      <c r="M3" s="19">
        <v>46098</v>
      </c>
    </row>
    <row r="4" ht="18.35" spans="1:13">
      <c r="A4" s="1"/>
      <c r="B4" s="6"/>
      <c r="C4" s="1" t="s">
        <v>17</v>
      </c>
      <c r="D4" s="5"/>
      <c r="E4" s="1"/>
      <c r="F4" s="5"/>
      <c r="G4" s="5"/>
      <c r="H4" s="6">
        <f t="shared" si="0"/>
        <v>0</v>
      </c>
      <c r="I4" s="1"/>
      <c r="J4" s="1"/>
      <c r="K4" s="13">
        <v>8400</v>
      </c>
      <c r="L4" s="3" t="s">
        <v>18</v>
      </c>
      <c r="M4" s="16">
        <v>46103</v>
      </c>
    </row>
    <row r="5" ht="18.35" spans="1:13">
      <c r="A5" s="1"/>
      <c r="B5" s="1"/>
      <c r="C5" s="1"/>
      <c r="D5" s="5"/>
      <c r="E5" s="1"/>
      <c r="F5" s="1"/>
      <c r="G5" s="1"/>
      <c r="H5" s="6">
        <f t="shared" si="0"/>
        <v>0</v>
      </c>
      <c r="I5" s="5"/>
      <c r="J5" s="1"/>
      <c r="K5" s="6"/>
      <c r="L5" s="6"/>
      <c r="M5" s="6"/>
    </row>
    <row r="6" ht="18.35" spans="1:13">
      <c r="A6" s="1" t="s">
        <v>19</v>
      </c>
      <c r="B6" s="18">
        <v>4000</v>
      </c>
      <c r="C6" s="8" t="s">
        <v>20</v>
      </c>
      <c r="D6" s="5"/>
      <c r="E6" s="1"/>
      <c r="F6" s="1"/>
      <c r="G6" s="1"/>
      <c r="H6" s="6">
        <f t="shared" si="0"/>
        <v>0</v>
      </c>
      <c r="I6" s="5"/>
      <c r="J6" s="1"/>
      <c r="K6" s="6"/>
      <c r="L6" s="6"/>
      <c r="M6" s="6"/>
    </row>
    <row r="7" ht="18.35" spans="1:13">
      <c r="A7" s="1" t="s">
        <v>21</v>
      </c>
      <c r="B7" s="1"/>
      <c r="C7" s="8"/>
      <c r="D7" s="5"/>
      <c r="E7" s="1"/>
      <c r="F7" s="1"/>
      <c r="G7" s="1"/>
      <c r="H7" s="6">
        <f t="shared" si="0"/>
        <v>0</v>
      </c>
      <c r="I7" s="5"/>
      <c r="J7" s="1"/>
      <c r="K7" s="6"/>
      <c r="L7" s="6"/>
      <c r="M7" s="6"/>
    </row>
    <row r="8" ht="18.35" spans="1:13">
      <c r="A8" s="1" t="s">
        <v>22</v>
      </c>
      <c r="B8" s="1"/>
      <c r="C8" s="8"/>
      <c r="D8" s="5"/>
      <c r="E8" s="1"/>
      <c r="F8" s="1"/>
      <c r="G8" s="1"/>
      <c r="H8" s="6">
        <f t="shared" si="0"/>
        <v>0</v>
      </c>
      <c r="I8" s="5"/>
      <c r="J8" s="1"/>
      <c r="K8" s="6"/>
      <c r="L8" s="6"/>
      <c r="M8" s="6"/>
    </row>
    <row r="9" ht="18.35" spans="1:13">
      <c r="A9" s="1"/>
      <c r="B9" s="1"/>
      <c r="C9" s="8"/>
      <c r="D9" s="5"/>
      <c r="E9" s="1"/>
      <c r="F9" s="1"/>
      <c r="G9" s="1"/>
      <c r="H9" s="1">
        <f t="shared" si="0"/>
        <v>0</v>
      </c>
      <c r="I9" s="1"/>
      <c r="J9" s="1"/>
      <c r="K9" s="1"/>
      <c r="L9" s="6"/>
      <c r="M9" s="6"/>
    </row>
    <row r="10" ht="18.35" spans="1:13">
      <c r="A10" s="1"/>
      <c r="B10" s="1"/>
      <c r="C10" s="1"/>
      <c r="D10" s="5"/>
      <c r="E10" s="1"/>
      <c r="F10" s="1"/>
      <c r="G10" s="1"/>
      <c r="H10" s="1">
        <f t="shared" si="0"/>
        <v>0</v>
      </c>
      <c r="I10" s="1"/>
      <c r="J10" s="1"/>
      <c r="K10" s="1"/>
      <c r="L10" s="6"/>
      <c r="M10" s="6"/>
    </row>
    <row r="11" ht="18.35" spans="1:13">
      <c r="A11" s="1"/>
      <c r="B11" s="1"/>
      <c r="C11" s="1"/>
      <c r="D11" s="5"/>
      <c r="E11" s="1"/>
      <c r="F11" s="1"/>
      <c r="G11" s="1"/>
      <c r="H11" s="1">
        <f t="shared" si="0"/>
        <v>0</v>
      </c>
      <c r="I11" s="1"/>
      <c r="J11" s="1"/>
      <c r="K11" s="1"/>
      <c r="L11" s="6"/>
      <c r="M11" s="6"/>
    </row>
    <row r="12" ht="18.35" spans="1:13">
      <c r="A12" s="1"/>
      <c r="B12" s="1"/>
      <c r="C12" s="1"/>
      <c r="D12" s="5"/>
      <c r="E12" s="1"/>
      <c r="F12" s="1"/>
      <c r="G12" s="1"/>
      <c r="H12" s="1">
        <f t="shared" si="0"/>
        <v>0</v>
      </c>
      <c r="I12" s="1"/>
      <c r="J12" s="1"/>
      <c r="K12" s="1"/>
      <c r="L12" s="6"/>
      <c r="M12" s="6"/>
    </row>
    <row r="13" ht="18.35" spans="1:13">
      <c r="A13" s="1"/>
      <c r="B13" s="1"/>
      <c r="C13" s="1"/>
      <c r="D13" s="5"/>
      <c r="E13" s="1"/>
      <c r="F13" s="1"/>
      <c r="G13" s="1"/>
      <c r="H13" s="1">
        <f t="shared" si="0"/>
        <v>0</v>
      </c>
      <c r="I13" s="1"/>
      <c r="J13" s="1"/>
      <c r="K13" s="1"/>
      <c r="L13" s="6"/>
      <c r="M13" s="6"/>
    </row>
    <row r="14" ht="18.35" spans="1:13">
      <c r="A14" s="1"/>
      <c r="B14" s="1"/>
      <c r="C14" s="1"/>
      <c r="D14" s="5"/>
      <c r="E14" s="1"/>
      <c r="F14" s="1"/>
      <c r="G14" s="1"/>
      <c r="H14" s="1">
        <f t="shared" si="0"/>
        <v>0</v>
      </c>
      <c r="I14" s="1"/>
      <c r="J14" s="1"/>
      <c r="K14" s="1"/>
      <c r="L14" s="6"/>
      <c r="M14" s="6"/>
    </row>
    <row r="15" ht="18.35" spans="1:13">
      <c r="A15" s="1"/>
      <c r="B15" s="1"/>
      <c r="C15" s="1"/>
      <c r="D15" s="5"/>
      <c r="E15" s="1"/>
      <c r="F15" s="1"/>
      <c r="G15" s="1"/>
      <c r="H15" s="1">
        <f t="shared" si="0"/>
        <v>0</v>
      </c>
      <c r="I15" s="1"/>
      <c r="J15" s="1"/>
      <c r="K15" s="1"/>
      <c r="L15" s="6"/>
      <c r="M15" s="6"/>
    </row>
    <row r="16" ht="18.35" spans="1:13">
      <c r="A16" s="1"/>
      <c r="B16" s="1"/>
      <c r="C16" s="1"/>
      <c r="D16" s="5"/>
      <c r="E16" s="1"/>
      <c r="F16" s="1"/>
      <c r="G16" s="1"/>
      <c r="H16" s="1">
        <f t="shared" si="0"/>
        <v>0</v>
      </c>
      <c r="I16" s="1"/>
      <c r="J16" s="1"/>
      <c r="K16" s="1"/>
      <c r="L16" s="6"/>
      <c r="M16" s="6"/>
    </row>
    <row r="17" ht="18.35" spans="1:13">
      <c r="A17" s="1"/>
      <c r="B17" s="1"/>
      <c r="C17" s="1"/>
      <c r="D17" s="5"/>
      <c r="E17" s="1"/>
      <c r="F17" s="1"/>
      <c r="G17" s="1"/>
      <c r="H17" s="1">
        <f t="shared" si="0"/>
        <v>0</v>
      </c>
      <c r="I17" s="5"/>
      <c r="J17" s="1"/>
      <c r="K17" s="14"/>
      <c r="L17" s="6"/>
      <c r="M17" s="6"/>
    </row>
    <row r="18" ht="18.35" spans="1:13">
      <c r="A18" s="1"/>
      <c r="B18" s="5"/>
      <c r="C18" s="1"/>
      <c r="D18" s="5"/>
      <c r="E18" s="1"/>
      <c r="F18" s="1"/>
      <c r="G18" s="1"/>
      <c r="H18" s="6">
        <f t="shared" si="0"/>
        <v>0</v>
      </c>
      <c r="I18" s="5"/>
      <c r="J18" s="1"/>
      <c r="K18" s="6"/>
      <c r="L18" s="6"/>
      <c r="M18" s="6"/>
    </row>
    <row r="19" ht="18.35" spans="1:13">
      <c r="A19" s="1" t="s">
        <v>23</v>
      </c>
      <c r="B19" s="5">
        <f>SUM(H19:K19)</f>
        <v>16393</v>
      </c>
      <c r="C19" s="1"/>
      <c r="D19" s="5"/>
      <c r="E19" s="1"/>
      <c r="F19" s="1"/>
      <c r="G19" s="1"/>
      <c r="H19" s="5">
        <f t="shared" ref="H19:K19" si="1">SUM(H2:H18)</f>
        <v>693</v>
      </c>
      <c r="I19" s="5">
        <f t="shared" si="1"/>
        <v>0</v>
      </c>
      <c r="J19" s="1"/>
      <c r="K19" s="14">
        <f t="shared" si="1"/>
        <v>15700</v>
      </c>
      <c r="L19" s="6"/>
      <c r="M19" s="6"/>
    </row>
    <row r="20" ht="18.35" spans="1:13">
      <c r="A20" s="1" t="s">
        <v>24</v>
      </c>
      <c r="B20" s="10">
        <f>SUM(B6:B17)</f>
        <v>4000</v>
      </c>
      <c r="C20" s="1"/>
      <c r="D20" s="5"/>
      <c r="E20" s="1"/>
      <c r="F20" s="1"/>
      <c r="G20" s="1"/>
      <c r="H20" s="5"/>
      <c r="I20" s="5"/>
      <c r="J20" s="1"/>
      <c r="K20" s="14"/>
      <c r="L20" s="6"/>
      <c r="M20" s="6"/>
    </row>
    <row r="21" ht="18.35" spans="1:13">
      <c r="A21" s="1" t="s">
        <v>25</v>
      </c>
      <c r="B21" s="11">
        <f>(B20-B19)/B20</f>
        <v>-3.09825</v>
      </c>
      <c r="C21" s="1"/>
      <c r="D21" s="5"/>
      <c r="E21" s="1"/>
      <c r="F21" s="1"/>
      <c r="G21" s="1"/>
      <c r="H21" s="5"/>
      <c r="I21" s="5"/>
      <c r="J21" s="1"/>
      <c r="K21" s="14"/>
      <c r="L21" s="6"/>
      <c r="M21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2" sqref="A2"/>
    </sheetView>
  </sheetViews>
  <sheetFormatPr defaultColWidth="8.88888888888889" defaultRowHeight="17.6"/>
  <sheetData>
    <row r="1" ht="18.35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6"/>
      <c r="M1" s="6"/>
      <c r="N1" s="6"/>
    </row>
    <row r="2" spans="1:14">
      <c r="A2" s="3">
        <v>2801</v>
      </c>
      <c r="B2" s="3"/>
      <c r="C2" s="3" t="s">
        <v>26</v>
      </c>
      <c r="D2" s="4" t="s">
        <v>27</v>
      </c>
      <c r="E2" s="3" t="s">
        <v>28</v>
      </c>
      <c r="F2" s="6">
        <v>69.5</v>
      </c>
      <c r="G2" s="6">
        <v>13</v>
      </c>
      <c r="H2" s="6">
        <f t="shared" ref="H2:H8" si="0">F2*G2</f>
        <v>903.5</v>
      </c>
      <c r="I2" s="6"/>
      <c r="J2" s="6"/>
      <c r="K2" s="6">
        <v>92.76</v>
      </c>
      <c r="L2" s="3" t="s">
        <v>29</v>
      </c>
      <c r="M2" s="6"/>
      <c r="N2" s="6"/>
    </row>
    <row r="3" ht="18.35" spans="1:14">
      <c r="A3" s="1"/>
      <c r="B3" s="1"/>
      <c r="C3" s="3" t="s">
        <v>30</v>
      </c>
      <c r="D3" s="5"/>
      <c r="E3" s="1"/>
      <c r="F3" s="5"/>
      <c r="G3" s="5"/>
      <c r="H3" s="6">
        <f t="shared" si="0"/>
        <v>0</v>
      </c>
      <c r="I3" s="1"/>
      <c r="J3" s="6"/>
      <c r="K3" s="6">
        <v>78.62</v>
      </c>
      <c r="L3" s="3" t="s">
        <v>31</v>
      </c>
      <c r="M3" s="3" t="s">
        <v>27</v>
      </c>
      <c r="N3" s="6"/>
    </row>
    <row r="4" ht="18.35" spans="1:14">
      <c r="A4" s="1"/>
      <c r="B4" s="6"/>
      <c r="C4" s="1" t="s">
        <v>32</v>
      </c>
      <c r="D4" s="5"/>
      <c r="E4" s="1"/>
      <c r="F4" s="5"/>
      <c r="G4" s="5"/>
      <c r="H4" s="6">
        <f t="shared" si="0"/>
        <v>0</v>
      </c>
      <c r="I4" s="1"/>
      <c r="J4" s="1"/>
      <c r="K4" s="13">
        <v>23.22</v>
      </c>
      <c r="L4" s="3" t="s">
        <v>33</v>
      </c>
      <c r="M4" s="6"/>
      <c r="N4" s="6"/>
    </row>
    <row r="5" ht="18.35" spans="1:14">
      <c r="A5" s="1"/>
      <c r="B5" s="1"/>
      <c r="C5" s="1"/>
      <c r="D5" s="5"/>
      <c r="E5" s="1"/>
      <c r="F5" s="1"/>
      <c r="G5" s="1"/>
      <c r="H5" s="6">
        <f t="shared" si="0"/>
        <v>0</v>
      </c>
      <c r="I5" s="5"/>
      <c r="J5" s="1"/>
      <c r="K5" s="6">
        <v>1260</v>
      </c>
      <c r="L5" s="3" t="s">
        <v>34</v>
      </c>
      <c r="M5" s="3" t="s">
        <v>35</v>
      </c>
      <c r="N5" s="3" t="s">
        <v>35</v>
      </c>
    </row>
    <row r="6" ht="18.35" spans="1:14">
      <c r="A6" s="1" t="s">
        <v>19</v>
      </c>
      <c r="B6" s="7">
        <v>1507.8</v>
      </c>
      <c r="C6" s="8">
        <v>0.1</v>
      </c>
      <c r="D6" s="5"/>
      <c r="E6" s="1"/>
      <c r="F6" s="1"/>
      <c r="G6" s="1"/>
      <c r="H6" s="6">
        <f t="shared" si="0"/>
        <v>0</v>
      </c>
      <c r="I6" s="5"/>
      <c r="J6" s="1"/>
      <c r="K6" s="3">
        <v>1230</v>
      </c>
      <c r="L6" s="3" t="s">
        <v>36</v>
      </c>
      <c r="M6" s="6"/>
      <c r="N6" s="6"/>
    </row>
    <row r="7" ht="18.35" spans="1:14">
      <c r="A7" s="1" t="s">
        <v>21</v>
      </c>
      <c r="B7" s="1"/>
      <c r="C7" s="8"/>
      <c r="D7" s="5"/>
      <c r="E7" s="1"/>
      <c r="F7" s="1"/>
      <c r="G7" s="1"/>
      <c r="H7" s="6">
        <f t="shared" si="0"/>
        <v>0</v>
      </c>
      <c r="I7" s="5"/>
      <c r="J7" s="1"/>
      <c r="K7" s="6">
        <v>32</v>
      </c>
      <c r="L7" s="3" t="s">
        <v>33</v>
      </c>
      <c r="M7" s="3" t="s">
        <v>37</v>
      </c>
      <c r="N7" s="6"/>
    </row>
    <row r="8" ht="18.35" spans="1:14">
      <c r="A8" s="1" t="s">
        <v>22</v>
      </c>
      <c r="B8" s="6"/>
      <c r="C8" s="9"/>
      <c r="D8" s="5"/>
      <c r="E8" s="1"/>
      <c r="F8" s="1"/>
      <c r="G8" s="1"/>
      <c r="H8" s="6">
        <f t="shared" si="0"/>
        <v>0</v>
      </c>
      <c r="I8" s="5"/>
      <c r="J8" s="1"/>
      <c r="K8" s="6">
        <v>700</v>
      </c>
      <c r="L8" s="3" t="s">
        <v>38</v>
      </c>
      <c r="M8" s="3" t="s">
        <v>39</v>
      </c>
      <c r="N8" s="6"/>
    </row>
    <row r="9" ht="18.35" spans="1:14">
      <c r="A9" s="1"/>
      <c r="B9" s="6"/>
      <c r="C9" s="9"/>
      <c r="D9" s="5"/>
      <c r="E9" s="1"/>
      <c r="F9" s="1"/>
      <c r="G9" s="1"/>
      <c r="H9" s="6"/>
      <c r="I9" s="5"/>
      <c r="J9" s="1"/>
      <c r="K9" s="6"/>
      <c r="L9" s="6"/>
      <c r="M9" s="16"/>
      <c r="N9" s="6"/>
    </row>
    <row r="10" ht="18.35" spans="1:14">
      <c r="A10" s="1"/>
      <c r="B10" s="6"/>
      <c r="C10" s="9"/>
      <c r="D10" s="5"/>
      <c r="E10" s="1"/>
      <c r="F10" s="1"/>
      <c r="G10" s="1"/>
      <c r="H10" s="6"/>
      <c r="I10" s="5"/>
      <c r="J10" s="1"/>
      <c r="K10" s="6"/>
      <c r="L10" s="6"/>
      <c r="M10" s="17"/>
      <c r="N10" s="16"/>
    </row>
    <row r="11" ht="18.35" spans="1:14">
      <c r="A11" s="1"/>
      <c r="B11" s="6"/>
      <c r="C11" s="9"/>
      <c r="D11" s="5"/>
      <c r="E11" s="1"/>
      <c r="F11" s="1"/>
      <c r="G11" s="1"/>
      <c r="H11" s="6"/>
      <c r="I11" s="5"/>
      <c r="J11" s="1"/>
      <c r="K11" s="6"/>
      <c r="L11" s="6"/>
      <c r="M11" s="6"/>
      <c r="N11" s="6"/>
    </row>
    <row r="12" ht="18.35" spans="1:14">
      <c r="A12" s="1"/>
      <c r="B12" s="1"/>
      <c r="C12" s="1"/>
      <c r="D12" s="5"/>
      <c r="E12" s="1"/>
      <c r="F12" s="1"/>
      <c r="G12" s="1"/>
      <c r="H12" s="1">
        <f t="shared" ref="H12:H14" si="1">F12*G12</f>
        <v>0</v>
      </c>
      <c r="I12" s="1"/>
      <c r="J12" s="1"/>
      <c r="K12" s="1"/>
      <c r="L12" s="6"/>
      <c r="M12" s="16"/>
      <c r="N12" s="16"/>
    </row>
    <row r="13" ht="18.35" spans="1:14">
      <c r="A13" s="1"/>
      <c r="B13" s="1"/>
      <c r="C13" s="8"/>
      <c r="D13" s="5"/>
      <c r="E13" s="1"/>
      <c r="F13" s="1"/>
      <c r="G13" s="1"/>
      <c r="H13" s="6">
        <f t="shared" si="1"/>
        <v>0</v>
      </c>
      <c r="I13" s="5"/>
      <c r="J13" s="1"/>
      <c r="K13" s="14"/>
      <c r="L13" s="6"/>
      <c r="M13" s="3"/>
      <c r="N13" s="16"/>
    </row>
    <row r="14" ht="18.35" spans="1:14">
      <c r="A14" s="1"/>
      <c r="B14" s="5"/>
      <c r="C14" s="1"/>
      <c r="D14" s="5"/>
      <c r="E14" s="1"/>
      <c r="F14" s="1"/>
      <c r="G14" s="1"/>
      <c r="H14" s="6">
        <f t="shared" si="1"/>
        <v>0</v>
      </c>
      <c r="I14" s="5"/>
      <c r="J14" s="1"/>
      <c r="K14" s="6"/>
      <c r="L14" s="6"/>
      <c r="M14" s="6"/>
      <c r="N14" s="16"/>
    </row>
    <row r="15" ht="18.35" spans="1:14">
      <c r="A15" s="1" t="s">
        <v>23</v>
      </c>
      <c r="B15" s="5">
        <f>SUM(H15:K15)</f>
        <v>4320.1</v>
      </c>
      <c r="C15" s="1"/>
      <c r="D15" s="5"/>
      <c r="E15" s="1"/>
      <c r="F15" s="1"/>
      <c r="G15" s="1"/>
      <c r="H15" s="5">
        <f t="shared" ref="H15:K15" si="2">SUM(H2:H14)</f>
        <v>903.5</v>
      </c>
      <c r="I15" s="5">
        <f t="shared" si="2"/>
        <v>0</v>
      </c>
      <c r="J15" s="1"/>
      <c r="K15" s="14">
        <f t="shared" si="2"/>
        <v>3416.6</v>
      </c>
      <c r="L15" s="6"/>
      <c r="M15" s="16"/>
      <c r="N15" s="3"/>
    </row>
    <row r="16" ht="18.35" spans="1:14">
      <c r="A16" s="1" t="s">
        <v>24</v>
      </c>
      <c r="B16" s="15">
        <f>SUM(B6:B13)</f>
        <v>1507.8</v>
      </c>
      <c r="C16" s="1"/>
      <c r="D16" s="5"/>
      <c r="E16" s="1"/>
      <c r="F16" s="1"/>
      <c r="G16" s="1"/>
      <c r="H16" s="5"/>
      <c r="I16" s="5"/>
      <c r="J16" s="1"/>
      <c r="K16" s="14"/>
      <c r="L16" s="6"/>
      <c r="M16" s="6"/>
      <c r="N16" s="3"/>
    </row>
    <row r="17" ht="18.35" spans="1:14">
      <c r="A17" s="1" t="s">
        <v>25</v>
      </c>
      <c r="B17" s="11">
        <f>(B16-B15)/B16</f>
        <v>-1.86516779413715</v>
      </c>
      <c r="C17" s="1" t="s">
        <v>40</v>
      </c>
      <c r="D17" s="5"/>
      <c r="E17" s="1"/>
      <c r="F17" s="1"/>
      <c r="G17" s="1"/>
      <c r="H17" s="5"/>
      <c r="I17" s="5"/>
      <c r="J17" s="1"/>
      <c r="K17" s="14"/>
      <c r="L17" s="6"/>
      <c r="M17" s="6"/>
      <c r="N1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E25" sqref="E25"/>
    </sheetView>
  </sheetViews>
  <sheetFormatPr defaultColWidth="8.88888888888889" defaultRowHeight="17.6"/>
  <sheetData>
    <row r="1" ht="18.35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6"/>
      <c r="M1" s="6"/>
    </row>
    <row r="2" ht="18.35" spans="1:13">
      <c r="A2" s="3" t="s">
        <v>41</v>
      </c>
      <c r="B2" s="3"/>
      <c r="C2" s="3" t="s">
        <v>42</v>
      </c>
      <c r="D2" s="4" t="s">
        <v>12</v>
      </c>
      <c r="E2" s="3" t="s">
        <v>43</v>
      </c>
      <c r="F2" s="6">
        <v>10</v>
      </c>
      <c r="G2" s="6">
        <v>12</v>
      </c>
      <c r="H2" s="6">
        <f t="shared" ref="H2:H11" si="0">F2*G2</f>
        <v>120</v>
      </c>
      <c r="I2" s="6"/>
      <c r="J2" s="6"/>
      <c r="K2" s="6">
        <v>4000</v>
      </c>
      <c r="L2" s="3" t="s">
        <v>44</v>
      </c>
      <c r="M2" s="3" t="s">
        <v>45</v>
      </c>
    </row>
    <row r="3" ht="18.35" spans="1:13">
      <c r="A3" s="1"/>
      <c r="B3" s="1"/>
      <c r="C3" s="3" t="s">
        <v>46</v>
      </c>
      <c r="D3" s="5"/>
      <c r="E3" s="1"/>
      <c r="F3" s="5"/>
      <c r="G3" s="5"/>
      <c r="H3" s="6">
        <f t="shared" si="0"/>
        <v>0</v>
      </c>
      <c r="I3" s="1"/>
      <c r="J3" s="6"/>
      <c r="K3" s="6">
        <v>1305.92</v>
      </c>
      <c r="L3" s="3" t="s">
        <v>47</v>
      </c>
      <c r="M3" s="3" t="s">
        <v>48</v>
      </c>
    </row>
    <row r="4" ht="18.35" spans="1:13">
      <c r="A4" s="1"/>
      <c r="B4" s="6"/>
      <c r="C4" s="1" t="s">
        <v>32</v>
      </c>
      <c r="D4" s="5"/>
      <c r="E4" s="1"/>
      <c r="F4" s="5"/>
      <c r="G4" s="5"/>
      <c r="H4" s="6">
        <f t="shared" si="0"/>
        <v>0</v>
      </c>
      <c r="I4" s="1"/>
      <c r="J4" s="1"/>
      <c r="K4" s="13">
        <v>4820</v>
      </c>
      <c r="L4" s="3" t="s">
        <v>49</v>
      </c>
      <c r="M4" s="3" t="s">
        <v>50</v>
      </c>
    </row>
    <row r="5" ht="18.35" spans="1:13">
      <c r="A5" s="1"/>
      <c r="B5" s="1"/>
      <c r="C5" s="1"/>
      <c r="D5" s="5"/>
      <c r="E5" s="1"/>
      <c r="F5" s="1"/>
      <c r="G5" s="1"/>
      <c r="H5" s="6">
        <f t="shared" si="0"/>
        <v>0</v>
      </c>
      <c r="I5" s="5"/>
      <c r="J5" s="1"/>
      <c r="K5" s="6">
        <v>54.77</v>
      </c>
      <c r="L5" s="3" t="s">
        <v>51</v>
      </c>
      <c r="M5" s="3" t="s">
        <v>12</v>
      </c>
    </row>
    <row r="6" ht="18.35" spans="1:13">
      <c r="A6" s="1" t="s">
        <v>19</v>
      </c>
      <c r="B6" s="7">
        <v>15500</v>
      </c>
      <c r="C6" s="8" t="s">
        <v>52</v>
      </c>
      <c r="D6" s="5"/>
      <c r="E6" s="1"/>
      <c r="F6" s="1"/>
      <c r="G6" s="1"/>
      <c r="H6" s="6">
        <f t="shared" si="0"/>
        <v>0</v>
      </c>
      <c r="I6" s="5"/>
      <c r="J6" s="1"/>
      <c r="K6" s="6"/>
      <c r="L6" s="6"/>
      <c r="M6" s="6"/>
    </row>
    <row r="7" ht="18.35" spans="1:13">
      <c r="A7" s="1" t="s">
        <v>21</v>
      </c>
      <c r="B7" s="1"/>
      <c r="C7" s="8"/>
      <c r="D7" s="5"/>
      <c r="E7" s="1"/>
      <c r="F7" s="1"/>
      <c r="G7" s="1"/>
      <c r="H7" s="6">
        <f t="shared" si="0"/>
        <v>0</v>
      </c>
      <c r="I7" s="5"/>
      <c r="J7" s="1"/>
      <c r="K7" s="6"/>
      <c r="L7" s="6"/>
      <c r="M7" s="6"/>
    </row>
    <row r="8" ht="18.35" spans="1:13">
      <c r="A8" s="1" t="s">
        <v>22</v>
      </c>
      <c r="B8" s="6"/>
      <c r="C8" s="9"/>
      <c r="D8" s="5"/>
      <c r="E8" s="1"/>
      <c r="F8" s="1"/>
      <c r="G8" s="1"/>
      <c r="H8" s="6">
        <f t="shared" si="0"/>
        <v>0</v>
      </c>
      <c r="I8" s="5"/>
      <c r="J8" s="1"/>
      <c r="K8" s="6"/>
      <c r="L8" s="6"/>
      <c r="M8" s="6"/>
    </row>
    <row r="9" ht="18.35" spans="1:13">
      <c r="A9" s="1"/>
      <c r="B9" s="1"/>
      <c r="C9" s="1"/>
      <c r="D9" s="5"/>
      <c r="E9" s="1"/>
      <c r="F9" s="1"/>
      <c r="G9" s="1"/>
      <c r="H9" s="1">
        <f t="shared" si="0"/>
        <v>0</v>
      </c>
      <c r="I9" s="1"/>
      <c r="J9" s="1"/>
      <c r="K9" s="1"/>
      <c r="L9" s="6"/>
      <c r="M9" s="6"/>
    </row>
    <row r="10" ht="18.35" spans="1:13">
      <c r="A10" s="1"/>
      <c r="B10" s="1"/>
      <c r="C10" s="1"/>
      <c r="D10" s="5"/>
      <c r="E10" s="1"/>
      <c r="F10" s="1"/>
      <c r="G10" s="1"/>
      <c r="H10" s="6">
        <f t="shared" si="0"/>
        <v>0</v>
      </c>
      <c r="I10" s="5"/>
      <c r="J10" s="1"/>
      <c r="K10" s="14"/>
      <c r="L10" s="6"/>
      <c r="M10" s="6"/>
    </row>
    <row r="11" ht="18.35" spans="1:13">
      <c r="A11" s="1"/>
      <c r="B11" s="5"/>
      <c r="C11" s="1"/>
      <c r="D11" s="5"/>
      <c r="E11" s="1"/>
      <c r="F11" s="1"/>
      <c r="G11" s="1"/>
      <c r="H11" s="6">
        <f t="shared" si="0"/>
        <v>0</v>
      </c>
      <c r="I11" s="5"/>
      <c r="J11" s="1"/>
      <c r="K11" s="6"/>
      <c r="L11" s="6"/>
      <c r="M11" s="6"/>
    </row>
    <row r="12" ht="18.35" spans="1:13">
      <c r="A12" s="1" t="s">
        <v>23</v>
      </c>
      <c r="B12" s="5">
        <f>SUM(H12:K12)</f>
        <v>10300.69</v>
      </c>
      <c r="C12" s="1"/>
      <c r="D12" s="5"/>
      <c r="E12" s="1"/>
      <c r="F12" s="1"/>
      <c r="G12" s="1"/>
      <c r="H12" s="5">
        <f t="shared" ref="H12:K12" si="1">SUM(H2:H11)</f>
        <v>120</v>
      </c>
      <c r="I12" s="5">
        <f t="shared" si="1"/>
        <v>0</v>
      </c>
      <c r="J12" s="1"/>
      <c r="K12" s="14">
        <f t="shared" si="1"/>
        <v>10180.69</v>
      </c>
      <c r="L12" s="6"/>
      <c r="M12" s="6"/>
    </row>
    <row r="13" ht="18.35" spans="1:13">
      <c r="A13" s="1" t="s">
        <v>24</v>
      </c>
      <c r="B13" s="10">
        <f>SUM(B6:B10)</f>
        <v>15500</v>
      </c>
      <c r="C13" s="1"/>
      <c r="D13" s="5"/>
      <c r="E13" s="1"/>
      <c r="F13" s="1"/>
      <c r="G13" s="1"/>
      <c r="H13" s="5"/>
      <c r="I13" s="5"/>
      <c r="J13" s="1"/>
      <c r="K13" s="14"/>
      <c r="L13" s="6"/>
      <c r="M13" s="6"/>
    </row>
    <row r="14" ht="18.35" spans="1:13">
      <c r="A14" s="1" t="s">
        <v>25</v>
      </c>
      <c r="B14" s="11">
        <f>(B13-B12)/B13</f>
        <v>0.33543935483871</v>
      </c>
      <c r="C14" s="1" t="s">
        <v>40</v>
      </c>
      <c r="D14" s="5"/>
      <c r="E14" s="1"/>
      <c r="F14" s="1"/>
      <c r="G14" s="1"/>
      <c r="H14" s="5"/>
      <c r="I14" s="5"/>
      <c r="J14" s="1"/>
      <c r="K14" s="14"/>
      <c r="L14" s="6"/>
      <c r="M1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7217 Bridlewood</vt:lpstr>
      <vt:lpstr>1323 Homer</vt:lpstr>
      <vt:lpstr>1171 Jervis Street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xingyu99@student.ubc.ca</dc:creator>
  <cp:lastModifiedBy>Hongming Wang</cp:lastModifiedBy>
  <dcterms:created xsi:type="dcterms:W3CDTF">2026-03-25T18:50:00Z</dcterms:created>
  <dcterms:modified xsi:type="dcterms:W3CDTF">2026-03-27T14:39:16Z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905F91AEDE0BE4AB02F9C6693E3A5D4E_43</vt:lpwstr>
  </property>
  <property fmtid="{D5CDD505-2E9C-101B-9397-08002B2CF9AE}" pid="3" name="KSOProductBuildVer">
    <vt:lpwstr>1033-6.14.0.8716</vt:lpwstr>
  </property>
</Properties>
</file>
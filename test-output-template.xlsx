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240" windowHeight="12460"/>
  </bookViews>
  <sheets>
    <sheet name="Jan 26" sheetId="1" r:id="rId1"/>
    <sheet name="Sep 25" sheetId="2" r:id="rId2"/>
    <sheet name="Apr 25" sheetId="3" r:id="rId3"/>
    <sheet name="Balance" sheetId="4" r:id="rId4"/>
    <sheet name="T4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<sst xmlns="http://schemas.openxmlformats.org/spreadsheetml/2006/main" count="235" uniqueCount="63">
  <si>
    <t>单号</t>
  </si>
  <si>
    <t>负责人</t>
  </si>
  <si>
    <t>客户名+项目</t>
  </si>
  <si>
    <t>日期</t>
  </si>
  <si>
    <t>工人</t>
  </si>
  <si>
    <t>工时</t>
  </si>
  <si>
    <t>hourly rate</t>
  </si>
  <si>
    <t>开销</t>
  </si>
  <si>
    <t>其他开销</t>
  </si>
  <si>
    <t>Note</t>
  </si>
  <si>
    <t>材料开销</t>
  </si>
  <si>
    <t>Chi Man</t>
  </si>
  <si>
    <t>1月上</t>
  </si>
  <si>
    <t>阿华</t>
  </si>
  <si>
    <t>电工定金</t>
  </si>
  <si>
    <t>7217 Bridlewood</t>
  </si>
  <si>
    <t>钢梁定金</t>
  </si>
  <si>
    <t>2026-01-17</t>
  </si>
  <si>
    <t>Burnaby</t>
  </si>
  <si>
    <t>Andy水工80%</t>
  </si>
  <si>
    <t>1月中</t>
  </si>
  <si>
    <t>第一笔款</t>
  </si>
  <si>
    <t>定金材料</t>
  </si>
  <si>
    <t>1月</t>
  </si>
  <si>
    <t>第二笔款</t>
  </si>
  <si>
    <t>第三笔款</t>
  </si>
  <si>
    <t>总开销</t>
  </si>
  <si>
    <t>总价格</t>
  </si>
  <si>
    <t>利润率</t>
  </si>
  <si>
    <t>unit 5</t>
  </si>
  <si>
    <t>1530 Oak Street</t>
  </si>
  <si>
    <t>2月上</t>
  </si>
  <si>
    <t>老赵</t>
  </si>
  <si>
    <t>Vancouver</t>
  </si>
  <si>
    <t>5880 Dover</t>
  </si>
  <si>
    <t>补砖</t>
  </si>
  <si>
    <t>Richmond</t>
  </si>
  <si>
    <t>老赵材料</t>
  </si>
  <si>
    <t>Aaron 水工</t>
  </si>
  <si>
    <t>2月19</t>
  </si>
  <si>
    <t>Chris 台面</t>
  </si>
  <si>
    <t>3月1</t>
  </si>
  <si>
    <t>302</t>
  </si>
  <si>
    <t>Marco Project</t>
  </si>
  <si>
    <t>53 Maple Ave</t>
  </si>
  <si>
    <t>4444 Test Lane</t>
  </si>
  <si>
    <t>材料1</t>
  </si>
  <si>
    <t>材料2</t>
  </si>
  <si>
    <t>材料3</t>
  </si>
  <si>
    <t>2月</t>
  </si>
  <si>
    <t>材料4</t>
  </si>
  <si>
    <t>3月</t>
  </si>
  <si>
    <t>9000 Ash Grove Crescent</t>
  </si>
  <si>
    <t>10月上</t>
  </si>
  <si>
    <t>9月上</t>
  </si>
  <si>
    <t>6033 Williams Rd</t>
  </si>
  <si>
    <t>4月上</t>
  </si>
  <si>
    <t>Income</t>
  </si>
  <si>
    <t>total</t>
  </si>
  <si>
    <t>项目</t>
  </si>
  <si>
    <t>金额</t>
  </si>
  <si>
    <t>所有人的</t>
  </si>
  <si>
    <t>名字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</si>
</sst>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28"/>
  <sheetViews>
    <sheetView tabSelected="1" topLeftCell="A42" workbookViewId="0">
      <selection activeCell="C65" sqref="C65"/>
    </sheetView>
  </sheetViews>
  <sheetFormatPr defaultColWidth="9" defaultRowHeight="16.8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3:12">
      <c r="C2" t="s">
        <v>11</v>
      </c>
      <c r="D2" t="s">
        <v>12</v>
      </c>
      <c r="E2" t="s">
        <v>13</v>
      </c>
      <c r="F2">
        <v>49.5</v>
      </c>
      <c r="G2">
        <v>14</v>
      </c>
      <c r="H2">
        <f t="shared" ref="H2:H27" si="0">F2*G2</f>
        <v>693</v>
      </c>
      <c r="K2">
        <v>6300</v>
      </c>
      <c r="L2" t="s">
        <v>14</v>
      </c>
    </row>
    <row r="3" spans="3:13">
      <c r="C3" t="s">
        <v>15</v>
      </c>
      <c r="D3" t="s">
        <v>12</v>
      </c>
      <c r="E3" t="s">
        <v>13</v>
      </c>
      <c r="F3">
        <v>50</v>
      </c>
      <c r="G3">
        <v>14</v>
      </c>
      <c r="H3">
        <f t="shared" si="0"/>
        <v>700</v>
      </c>
      <c r="K3">
        <v>1000</v>
      </c>
      <c r="L3" t="s">
        <v>16</v>
      </c>
      <c r="M3" t="s">
        <v>17</v>
      </c>
    </row>
    <row r="4" spans="3:13">
      <c r="C4" t="s">
        <v>18</v>
      </c>
      <c r="H4">
        <f t="shared" si="0"/>
        <v>0</v>
      </c>
      <c r="K4">
        <v>8400</v>
      </c>
      <c r="L4" t="s">
        <v>19</v>
      </c>
      <c r="M4" t="s">
        <v>20</v>
      </c>
    </row>
    <row r="5" spans="1:13">
      <c r="A5" t="s">
        <v>21</v>
      </c>
      <c r="B5">
        <v>4000</v>
      </c>
      <c r="H5">
        <f t="shared" si="0"/>
        <v>0</v>
      </c>
      <c r="K5">
        <v>500</v>
      </c>
      <c r="L5" t="s">
        <v>22</v>
      </c>
      <c r="M5" t="s">
        <v>23</v>
      </c>
    </row>
    <row r="6" spans="1:8">
      <c r="A6" t="s">
        <v>24</v>
      </c>
      <c r="H6">
        <f t="shared" si="0"/>
        <v>0</v>
      </c>
    </row>
    <row r="7" spans="1:8">
      <c r="A7" t="s">
        <v>25</v>
      </c>
      <c r="H7">
        <f t="shared" si="0"/>
        <v>0</v>
      </c>
    </row>
    <row r="8" spans="8:8">
      <c r="H8">
        <f t="shared" si="0"/>
        <v>0</v>
      </c>
    </row>
    <row r="9" spans="8:8">
      <c r="H9">
        <f t="shared" si="0"/>
        <v>0</v>
      </c>
    </row>
    <row r="10" spans="8:8">
      <c r="H10">
        <f t="shared" si="0"/>
        <v>0</v>
      </c>
    </row>
    <row r="11" spans="8:8">
      <c r="H11">
        <f t="shared" si="0"/>
        <v>0</v>
      </c>
    </row>
    <row r="12" spans="8:8">
      <c r="H12">
        <f t="shared" si="0"/>
        <v>0</v>
      </c>
    </row>
    <row r="13" spans="8:8">
      <c r="H13">
        <f t="shared" si="0"/>
        <v>0</v>
      </c>
    </row>
    <row r="14" spans="8:8">
      <c r="H14">
        <f t="shared" si="0"/>
        <v>0</v>
      </c>
    </row>
    <row r="15" spans="8:8">
      <c r="H15">
        <f t="shared" si="0"/>
        <v>0</v>
      </c>
    </row>
    <row r="16" spans="8:8">
      <c r="H16">
        <f t="shared" si="0"/>
        <v>0</v>
      </c>
    </row>
    <row r="17" spans="8:8">
      <c r="H17">
        <f t="shared" si="0"/>
        <v>0</v>
      </c>
    </row>
    <row r="18" spans="8:8">
      <c r="H18">
        <f t="shared" si="0"/>
        <v>0</v>
      </c>
    </row>
    <row r="19" spans="8:8">
      <c r="H19">
        <f t="shared" si="0"/>
        <v>0</v>
      </c>
    </row>
    <row r="20" spans="8:8">
      <c r="H20">
        <f t="shared" si="0"/>
        <v>0</v>
      </c>
    </row>
    <row r="21" spans="8:8">
      <c r="H21">
        <f t="shared" si="0"/>
        <v>0</v>
      </c>
    </row>
    <row r="22" spans="8:8">
      <c r="H22">
        <f t="shared" si="0"/>
        <v>0</v>
      </c>
    </row>
    <row r="23" spans="8:8">
      <c r="H23">
        <f t="shared" si="0"/>
        <v>0</v>
      </c>
    </row>
    <row r="24" spans="8:8">
      <c r="H24">
        <f t="shared" si="0"/>
        <v>0</v>
      </c>
    </row>
    <row r="25" spans="8:8">
      <c r="H25">
        <f t="shared" si="0"/>
        <v>0</v>
      </c>
    </row>
    <row r="26" spans="8:8">
      <c r="H26">
        <f t="shared" si="0"/>
        <v>0</v>
      </c>
    </row>
    <row r="27" spans="8:8">
      <c r="H27">
        <f t="shared" si="0"/>
        <v>0</v>
      </c>
    </row>
    <row r="28" spans="1:11">
      <c r="A28" t="s">
        <v>26</v>
      </c>
      <c r="B28">
        <f>SUM(H28:K28)</f>
        <v>17593</v>
      </c>
      <c r="H28">
        <f>SUM(H2:H27)</f>
        <v>1393</v>
      </c>
      <c r="I28">
        <f>SUM(I2:I27)</f>
        <v>0</v>
      </c>
      <c r="K28">
        <f>SUM(K2:K27)</f>
        <v>16200</v>
      </c>
    </row>
    <row r="29" spans="1:2">
      <c r="A29" t="s">
        <v>27</v>
      </c>
      <c r="B29">
        <f>SUM(B5:B7)</f>
        <v>4000</v>
      </c>
    </row>
    <row r="30" spans="1:2">
      <c r="A30" t="s">
        <v>28</v>
      </c>
      <c r="B30">
        <f>(B29-B28)/B29</f>
        <v>-3.39825</v>
      </c>
    </row>
    <row r="36" spans="1:11">
      <c r="A36" t="s">
        <v>0</v>
      </c>
      <c r="B36" t="s">
        <v>1</v>
      </c>
      <c r="C36" t="s">
        <v>2</v>
      </c>
      <c r="D36" t="s">
        <v>3</v>
      </c>
      <c r="E36" t="s">
        <v>4</v>
      </c>
      <c r="F36" t="s">
        <v>5</v>
      </c>
      <c r="G36" t="s">
        <v>6</v>
      </c>
      <c r="H36" t="s">
        <v>7</v>
      </c>
      <c r="I36" t="s">
        <v>8</v>
      </c>
      <c r="J36" t="s">
        <v>9</v>
      </c>
      <c r="K36" t="s">
        <v>10</v>
      </c>
    </row>
    <row r="37" spans="1:8">
      <c r="A37" t="s">
        <v>29</v>
      </c>
      <c r="C37" t="s">
        <v>30</v>
      </c>
      <c r="D37" t="s">
        <v>31</v>
      </c>
      <c r="E37" t="s">
        <v>32</v>
      </c>
      <c r="F37">
        <v>30</v>
      </c>
      <c r="G37">
        <v>15</v>
      </c>
      <c r="H37">
        <f t="shared" ref="H37:H49" si="1">F37*G37</f>
        <v>450</v>
      </c>
    </row>
    <row r="38" spans="3:8">
      <c r="C38" t="s">
        <v>33</v>
      </c>
      <c r="H38">
        <f t="shared" si="1"/>
        <v>0</v>
      </c>
    </row>
    <row r="39" spans="1:8">
      <c r="A39" t="s">
        <v>21</v>
      </c>
      <c r="B39">
        <v>2000</v>
      </c>
      <c r="H39">
        <f t="shared" si="1"/>
        <v>0</v>
      </c>
    </row>
    <row r="40" spans="1:8">
      <c r="A40" t="s">
        <v>24</v>
      </c>
      <c r="H40">
        <f t="shared" si="1"/>
        <v>0</v>
      </c>
    </row>
    <row r="41" spans="1:8">
      <c r="A41" t="s">
        <v>25</v>
      </c>
      <c r="H41">
        <f t="shared" si="1"/>
        <v>0</v>
      </c>
    </row>
    <row r="42" spans="8:8">
      <c r="H42">
        <f t="shared" si="1"/>
        <v>0</v>
      </c>
    </row>
    <row r="43" spans="8:8">
      <c r="H43">
        <f t="shared" si="1"/>
        <v>0</v>
      </c>
    </row>
    <row r="44" spans="8:8">
      <c r="H44">
        <f t="shared" si="1"/>
        <v>0</v>
      </c>
    </row>
    <row r="45" spans="8:8">
      <c r="H45">
        <f t="shared" si="1"/>
        <v>0</v>
      </c>
    </row>
    <row r="46" spans="8:8">
      <c r="H46">
        <f t="shared" si="1"/>
        <v>0</v>
      </c>
    </row>
    <row r="47" spans="8:8">
      <c r="H47">
        <f t="shared" si="1"/>
        <v>0</v>
      </c>
    </row>
    <row r="48" spans="8:8">
      <c r="H48">
        <f t="shared" si="1"/>
        <v>0</v>
      </c>
    </row>
    <row r="49" spans="8:8">
      <c r="H49">
        <f t="shared" si="1"/>
        <v>0</v>
      </c>
    </row>
    <row r="50" spans="1:11">
      <c r="A50" t="s">
        <v>26</v>
      </c>
      <c r="B50">
        <f>SUM(H50:K50)</f>
        <v>450</v>
      </c>
      <c r="H50">
        <f>SUM(H37:H49)</f>
        <v>450</v>
      </c>
      <c r="I50">
        <f>SUM(I37:I49)</f>
        <v>0</v>
      </c>
      <c r="K50">
        <f>SUM(K37:K49)</f>
        <v>0</v>
      </c>
    </row>
    <row r="51" spans="1:2">
      <c r="A51" t="s">
        <v>27</v>
      </c>
      <c r="B51">
        <f>SUM(B39:B41)</f>
        <v>2000</v>
      </c>
    </row>
    <row r="52" spans="1:2">
      <c r="A52" t="s">
        <v>28</v>
      </c>
      <c r="B52">
        <f>(B51-B50)/B51</f>
        <v>0.775</v>
      </c>
    </row>
    <row r="55" spans="1:11">
      <c r="A55" t="s">
        <v>0</v>
      </c>
      <c r="B55" t="s">
        <v>1</v>
      </c>
      <c r="C55" t="s">
        <v>2</v>
      </c>
      <c r="D55" t="s">
        <v>3</v>
      </c>
      <c r="E55" t="s">
        <v>4</v>
      </c>
      <c r="F55" t="s">
        <v>5</v>
      </c>
      <c r="G55" t="s">
        <v>6</v>
      </c>
      <c r="H55" t="s">
        <v>7</v>
      </c>
      <c r="I55" t="s">
        <v>8</v>
      </c>
      <c r="J55" t="s">
        <v>9</v>
      </c>
      <c r="K55" t="s">
        <v>10</v>
      </c>
    </row>
    <row r="56" spans="3:12">
      <c r="C56" t="s">
        <v>34</v>
      </c>
      <c r="D56" t="s">
        <v>12</v>
      </c>
      <c r="E56" t="s">
        <v>32</v>
      </c>
      <c r="F56">
        <v>69.5</v>
      </c>
      <c r="G56">
        <v>13</v>
      </c>
      <c r="H56">
        <f t="shared" ref="H56:H62" si="2">F56*G56</f>
        <v>903.5</v>
      </c>
      <c r="K56">
        <v>92.76</v>
      </c>
      <c r="L56" t="s">
        <v>35</v>
      </c>
    </row>
    <row r="57" spans="3:13">
      <c r="C57" t="s">
        <v>36</v>
      </c>
      <c r="H57">
        <f t="shared" si="2"/>
        <v>0</v>
      </c>
      <c r="K57">
        <v>78.62</v>
      </c>
      <c r="L57" t="s">
        <v>37</v>
      </c>
      <c r="M57" t="s">
        <v>12</v>
      </c>
    </row>
    <row r="58" spans="3:8">
      <c r="C58" t="s">
        <v>34</v>
      </c>
      <c r="D58" t="s">
        <v>20</v>
      </c>
      <c r="E58" t="s">
        <v>13</v>
      </c>
      <c r="F58">
        <v>20</v>
      </c>
      <c r="G58">
        <v>14</v>
      </c>
      <c r="H58">
        <f t="shared" si="2"/>
        <v>280</v>
      </c>
    </row>
    <row r="59" spans="3:9">
      <c r="C59" t="s">
        <v>34</v>
      </c>
      <c r="D59" t="s">
        <v>31</v>
      </c>
      <c r="E59" t="s">
        <v>32</v>
      </c>
      <c r="F59">
        <v>15</v>
      </c>
      <c r="G59">
        <v>13</v>
      </c>
      <c r="H59">
        <f t="shared" si="2"/>
        <v>195</v>
      </c>
      <c r="I59">
        <v>50</v>
      </c>
    </row>
    <row r="60" spans="1:13">
      <c r="A60" t="s">
        <v>21</v>
      </c>
      <c r="B60">
        <v>1500</v>
      </c>
      <c r="C60" t="s">
        <v>34</v>
      </c>
      <c r="D60" t="s">
        <v>31</v>
      </c>
      <c r="E60" t="s">
        <v>32</v>
      </c>
      <c r="F60">
        <v>25</v>
      </c>
      <c r="G60">
        <v>13</v>
      </c>
      <c r="H60">
        <f t="shared" si="2"/>
        <v>325</v>
      </c>
      <c r="K60">
        <v>1260</v>
      </c>
      <c r="L60" t="s">
        <v>38</v>
      </c>
      <c r="M60" t="s">
        <v>39</v>
      </c>
    </row>
    <row r="61" spans="1:13">
      <c r="A61" t="s">
        <v>24</v>
      </c>
      <c r="B61">
        <v>800</v>
      </c>
      <c r="C61" t="s">
        <v>34</v>
      </c>
      <c r="D61" t="s">
        <v>31</v>
      </c>
      <c r="E61" t="s">
        <v>32</v>
      </c>
      <c r="F61">
        <v>35</v>
      </c>
      <c r="G61">
        <v>13</v>
      </c>
      <c r="H61">
        <f t="shared" si="2"/>
        <v>455</v>
      </c>
      <c r="K61">
        <v>700</v>
      </c>
      <c r="L61" t="s">
        <v>40</v>
      </c>
      <c r="M61" t="s">
        <v>41</v>
      </c>
    </row>
    <row r="62" spans="1:8">
      <c r="A62" t="s">
        <v>25</v>
      </c>
      <c r="C62" t="s">
        <v>34</v>
      </c>
      <c r="D62" t="s">
        <v>31</v>
      </c>
      <c r="E62" t="s">
        <v>32</v>
      </c>
      <c r="F62">
        <v>45</v>
      </c>
      <c r="G62">
        <v>13</v>
      </c>
      <c r="H62">
        <f t="shared" si="2"/>
        <v>585</v>
      </c>
    </row>
    <row r="63" spans="1:11">
      <c r="A63" t="s">
        <v>26</v>
      </c>
      <c r="B63">
        <f>SUM(H63:K63)</f>
        <v>4924.88</v>
      </c>
      <c r="H63">
        <f>SUM(H56:H62)</f>
        <v>2743.5</v>
      </c>
      <c r="I63">
        <f>SUM(I56:I62)</f>
        <v>50</v>
      </c>
      <c r="K63">
        <f>SUM(K56:K62)</f>
        <v>2131.38</v>
      </c>
    </row>
    <row r="64" spans="1:2">
      <c r="A64" t="s">
        <v>27</v>
      </c>
      <c r="B64">
        <f>SUM(B60:B62)</f>
        <v>2300</v>
      </c>
    </row>
    <row r="65" spans="1:2">
      <c r="A65" t="s">
        <v>28</v>
      </c>
      <c r="B65">
        <f>(B64-B63)/B64</f>
        <v>-1.14125217391304</v>
      </c>
    </row>
    <row r="70" spans="1:11">
      <c r="A70" t="s">
        <v>0</v>
      </c>
      <c r="B70" t="s">
        <v>1</v>
      </c>
      <c r="C70" t="s">
        <v>2</v>
      </c>
      <c r="D70" t="s">
        <v>3</v>
      </c>
      <c r="E70" t="s">
        <v>4</v>
      </c>
      <c r="F70" t="s">
        <v>5</v>
      </c>
      <c r="G70" t="s">
        <v>6</v>
      </c>
      <c r="H70" t="s">
        <v>7</v>
      </c>
      <c r="I70" t="s">
        <v>8</v>
      </c>
      <c r="J70" t="s">
        <v>9</v>
      </c>
      <c r="K70" t="s">
        <v>10</v>
      </c>
    </row>
    <row r="71" spans="1:8">
      <c r="A71" t="s">
        <v>42</v>
      </c>
      <c r="C71" t="s">
        <v>43</v>
      </c>
      <c r="D71" t="s">
        <v>12</v>
      </c>
      <c r="E71" t="s">
        <v>13</v>
      </c>
      <c r="F71">
        <v>40</v>
      </c>
      <c r="G71">
        <v>14</v>
      </c>
      <c r="H71">
        <f t="shared" ref="H71:H89" si="3">F71*G71</f>
        <v>560</v>
      </c>
    </row>
    <row r="72" spans="1:8">
      <c r="A72" t="s">
        <v>21</v>
      </c>
      <c r="H72">
        <f t="shared" si="3"/>
        <v>0</v>
      </c>
    </row>
    <row r="73" spans="1:8">
      <c r="A73" t="s">
        <v>24</v>
      </c>
      <c r="H73">
        <f t="shared" si="3"/>
        <v>0</v>
      </c>
    </row>
    <row r="74" spans="1:8">
      <c r="A74" t="s">
        <v>25</v>
      </c>
      <c r="H74">
        <f t="shared" si="3"/>
        <v>0</v>
      </c>
    </row>
    <row r="75" spans="8:8">
      <c r="H75">
        <f t="shared" si="3"/>
        <v>0</v>
      </c>
    </row>
    <row r="76" spans="8:8">
      <c r="H76">
        <f t="shared" si="3"/>
        <v>0</v>
      </c>
    </row>
    <row r="77" spans="8:8">
      <c r="H77">
        <f t="shared" si="3"/>
        <v>0</v>
      </c>
    </row>
    <row r="78" spans="8:8">
      <c r="H78">
        <f t="shared" si="3"/>
        <v>0</v>
      </c>
    </row>
    <row r="79" spans="8:8">
      <c r="H79">
        <f t="shared" si="3"/>
        <v>0</v>
      </c>
    </row>
    <row r="80" spans="8:8">
      <c r="H80">
        <f t="shared" si="3"/>
        <v>0</v>
      </c>
    </row>
    <row r="81" spans="8:8">
      <c r="H81">
        <f t="shared" si="3"/>
        <v>0</v>
      </c>
    </row>
    <row r="82" spans="8:8">
      <c r="H82">
        <f t="shared" si="3"/>
        <v>0</v>
      </c>
    </row>
    <row r="83" spans="8:8">
      <c r="H83">
        <f t="shared" si="3"/>
        <v>0</v>
      </c>
    </row>
    <row r="84" spans="8:8">
      <c r="H84">
        <f t="shared" si="3"/>
        <v>0</v>
      </c>
    </row>
    <row r="85" spans="8:8">
      <c r="H85">
        <f t="shared" si="3"/>
        <v>0</v>
      </c>
    </row>
    <row r="86" spans="8:8">
      <c r="H86">
        <f t="shared" si="3"/>
        <v>0</v>
      </c>
    </row>
    <row r="87" spans="8:8">
      <c r="H87">
        <f t="shared" si="3"/>
        <v>0</v>
      </c>
    </row>
    <row r="88" spans="8:8">
      <c r="H88">
        <f t="shared" si="3"/>
        <v>0</v>
      </c>
    </row>
    <row r="89" spans="8:8">
      <c r="H89">
        <f t="shared" si="3"/>
        <v>0</v>
      </c>
    </row>
    <row r="90" spans="1:11">
      <c r="A90" t="s">
        <v>26</v>
      </c>
      <c r="B90">
        <f>SUM(H90:K90)</f>
        <v>560</v>
      </c>
      <c r="H90">
        <f>SUM(H71:H89)</f>
        <v>560</v>
      </c>
      <c r="I90">
        <f>SUM(I71:I89)</f>
        <v>0</v>
      </c>
      <c r="K90">
        <f>SUM(K71:K89)</f>
        <v>0</v>
      </c>
    </row>
    <row r="91" spans="1:2">
      <c r="A91" t="s">
        <v>27</v>
      </c>
      <c r="B91">
        <f>SUM(B72:B74)</f>
        <v>0</v>
      </c>
    </row>
    <row r="92" spans="1:2">
      <c r="A92" t="s">
        <v>28</v>
      </c>
      <c r="B92" t="e">
        <f>(B91-B90)/B91</f>
        <v>#DIV/0!</v>
      </c>
    </row>
    <row r="95" spans="1:11">
      <c r="A95" t="s">
        <v>0</v>
      </c>
      <c r="B95" t="s">
        <v>1</v>
      </c>
      <c r="C95" t="s">
        <v>2</v>
      </c>
      <c r="D95" t="s">
        <v>3</v>
      </c>
      <c r="E95" t="s">
        <v>4</v>
      </c>
      <c r="F95" t="s">
        <v>5</v>
      </c>
      <c r="G95" t="s">
        <v>6</v>
      </c>
      <c r="H95" t="s">
        <v>7</v>
      </c>
      <c r="I95" t="s">
        <v>8</v>
      </c>
      <c r="J95" t="s">
        <v>9</v>
      </c>
      <c r="K95" t="s">
        <v>10</v>
      </c>
    </row>
    <row r="96" spans="3:8">
      <c r="C96" t="s">
        <v>44</v>
      </c>
      <c r="D96" t="s">
        <v>31</v>
      </c>
      <c r="E96" t="s">
        <v>32</v>
      </c>
      <c r="F96">
        <v>10</v>
      </c>
      <c r="G96">
        <v>13</v>
      </c>
      <c r="H96">
        <f t="shared" ref="H96:H114" si="4">F96*G96</f>
        <v>130</v>
      </c>
    </row>
    <row r="97" spans="1:8">
      <c r="A97" t="s">
        <v>21</v>
      </c>
      <c r="H97">
        <f t="shared" si="4"/>
        <v>0</v>
      </c>
    </row>
    <row r="98" spans="1:8">
      <c r="A98" t="s">
        <v>24</v>
      </c>
      <c r="H98">
        <f t="shared" si="4"/>
        <v>0</v>
      </c>
    </row>
    <row r="99" spans="1:8">
      <c r="A99" t="s">
        <v>25</v>
      </c>
      <c r="H99">
        <f t="shared" si="4"/>
        <v>0</v>
      </c>
    </row>
    <row r="100" spans="8:8">
      <c r="H100">
        <f t="shared" si="4"/>
        <v>0</v>
      </c>
    </row>
    <row r="101" spans="8:8">
      <c r="H101">
        <f t="shared" si="4"/>
        <v>0</v>
      </c>
    </row>
    <row r="102" spans="8:8">
      <c r="H102">
        <f t="shared" si="4"/>
        <v>0</v>
      </c>
    </row>
    <row r="103" spans="8:8">
      <c r="H103">
        <f t="shared" si="4"/>
        <v>0</v>
      </c>
    </row>
    <row r="104" spans="8:8">
      <c r="H104">
        <f t="shared" si="4"/>
        <v>0</v>
      </c>
    </row>
    <row r="105" spans="8:8">
      <c r="H105">
        <f t="shared" si="4"/>
        <v>0</v>
      </c>
    </row>
    <row r="106" spans="8:8">
      <c r="H106">
        <f t="shared" si="4"/>
        <v>0</v>
      </c>
    </row>
    <row r="107" spans="8:8">
      <c r="H107">
        <f t="shared" si="4"/>
        <v>0</v>
      </c>
    </row>
    <row r="108" spans="8:8">
      <c r="H108">
        <f t="shared" si="4"/>
        <v>0</v>
      </c>
    </row>
    <row r="109" spans="8:8">
      <c r="H109">
        <f t="shared" si="4"/>
        <v>0</v>
      </c>
    </row>
    <row r="110" spans="8:8">
      <c r="H110">
        <f t="shared" si="4"/>
        <v>0</v>
      </c>
    </row>
    <row r="111" spans="8:8">
      <c r="H111">
        <f t="shared" si="4"/>
        <v>0</v>
      </c>
    </row>
    <row r="112" spans="8:8">
      <c r="H112">
        <f t="shared" si="4"/>
        <v>0</v>
      </c>
    </row>
    <row r="113" spans="8:8">
      <c r="H113">
        <f t="shared" si="4"/>
        <v>0</v>
      </c>
    </row>
    <row r="114" spans="8:8">
      <c r="H114">
        <f t="shared" si="4"/>
        <v>0</v>
      </c>
    </row>
    <row r="115" spans="1:11">
      <c r="A115" t="s">
        <v>26</v>
      </c>
      <c r="B115">
        <f>SUM(H115:K115)</f>
        <v>130</v>
      </c>
      <c r="H115">
        <f>SUM(H96:H114)</f>
        <v>130</v>
      </c>
      <c r="I115">
        <f>SUM(I96:I114)</f>
        <v>0</v>
      </c>
      <c r="K115">
        <f>SUM(K96:K114)</f>
        <v>0</v>
      </c>
    </row>
    <row r="116" spans="1:2">
      <c r="A116" t="s">
        <v>27</v>
      </c>
      <c r="B116">
        <f>SUM(B97:B99)</f>
        <v>0</v>
      </c>
    </row>
    <row r="117" spans="1:2">
      <c r="A117" t="s">
        <v>28</v>
      </c>
      <c r="B117" t="e">
        <f>(B116-B115)/B116</f>
        <v>#DIV/0!</v>
      </c>
    </row>
    <row r="120" spans="1:11">
      <c r="A120" t="s">
        <v>0</v>
      </c>
      <c r="B120" t="s">
        <v>1</v>
      </c>
      <c r="C120" t="s">
        <v>2</v>
      </c>
      <c r="D120" t="s">
        <v>3</v>
      </c>
      <c r="E120" t="s">
        <v>4</v>
      </c>
      <c r="F120" t="s">
        <v>5</v>
      </c>
      <c r="G120" t="s">
        <v>6</v>
      </c>
      <c r="H120" t="s">
        <v>7</v>
      </c>
      <c r="I120" t="s">
        <v>8</v>
      </c>
      <c r="J120" t="s">
        <v>9</v>
      </c>
      <c r="K120" t="s">
        <v>10</v>
      </c>
    </row>
    <row r="121" spans="3:12">
      <c r="C121" t="s">
        <v>45</v>
      </c>
      <c r="D121" t="s">
        <v>12</v>
      </c>
      <c r="E121" t="s">
        <v>13</v>
      </c>
      <c r="F121">
        <v>10</v>
      </c>
      <c r="G121">
        <v>14</v>
      </c>
      <c r="H121">
        <f>F121*G121</f>
        <v>140</v>
      </c>
      <c r="K121">
        <v>100</v>
      </c>
      <c r="L121" t="s">
        <v>46</v>
      </c>
    </row>
    <row r="122" spans="3:12">
      <c r="C122" t="s">
        <v>45</v>
      </c>
      <c r="D122" t="s">
        <v>20</v>
      </c>
      <c r="E122" t="s">
        <v>32</v>
      </c>
      <c r="F122">
        <v>5</v>
      </c>
      <c r="G122">
        <v>13</v>
      </c>
      <c r="H122">
        <f>F122*G122</f>
        <v>65</v>
      </c>
      <c r="K122">
        <v>200</v>
      </c>
      <c r="L122" t="s">
        <v>47</v>
      </c>
    </row>
    <row r="123" spans="1:13">
      <c r="A123" t="s">
        <v>21</v>
      </c>
      <c r="B123">
        <v>1000</v>
      </c>
      <c r="H123">
        <f>F123*G123</f>
        <v>0</v>
      </c>
      <c r="K123">
        <v>300</v>
      </c>
      <c r="L123" t="s">
        <v>22</v>
      </c>
      <c r="M123" t="s">
        <v>23</v>
      </c>
    </row>
    <row r="124" spans="1:13">
      <c r="A124" t="s">
        <v>24</v>
      </c>
      <c r="H124">
        <f>F124*G124</f>
        <v>0</v>
      </c>
      <c r="K124">
        <v>400</v>
      </c>
      <c r="L124" t="s">
        <v>48</v>
      </c>
      <c r="M124" t="s">
        <v>49</v>
      </c>
    </row>
    <row r="125" spans="1:13">
      <c r="A125" t="s">
        <v>25</v>
      </c>
      <c r="H125">
        <f>F125*G125</f>
        <v>0</v>
      </c>
      <c r="K125">
        <v>500</v>
      </c>
      <c r="L125" t="s">
        <v>50</v>
      </c>
      <c r="M125" t="s">
        <v>51</v>
      </c>
    </row>
    <row r="126" spans="1:11">
      <c r="A126" t="s">
        <v>26</v>
      </c>
      <c r="B126">
        <f>SUM(H126:K126)</f>
        <v>1705</v>
      </c>
      <c r="H126">
        <f>SUM(H121:H125)</f>
        <v>205</v>
      </c>
      <c r="I126">
        <f>SUM(I121:I125)</f>
        <v>0</v>
      </c>
      <c r="K126">
        <f>SUM(K121:K125)</f>
        <v>1500</v>
      </c>
    </row>
    <row r="127" spans="1:2">
      <c r="A127" t="s">
        <v>27</v>
      </c>
      <c r="B127">
        <f>SUM(B123:B125)</f>
        <v>1000</v>
      </c>
    </row>
    <row r="128" spans="1:2">
      <c r="A128" t="s">
        <v>28</v>
      </c>
      <c r="B128">
        <f>(B127-B126)/B127</f>
        <v>-0.705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3"/>
  <sheetViews>
    <sheetView workbookViewId="0">
      <selection activeCell="A1" sqref="A1"/>
    </sheetView>
  </sheetViews>
  <sheetFormatPr defaultColWidth="9" defaultRowHeight="16.8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3:8">
      <c r="C2" t="s">
        <v>52</v>
      </c>
      <c r="D2" t="s">
        <v>53</v>
      </c>
      <c r="E2" t="s">
        <v>13</v>
      </c>
      <c r="F2">
        <v>30</v>
      </c>
      <c r="G2">
        <v>14</v>
      </c>
      <c r="H2">
        <f t="shared" ref="H2:H25" si="0">F2*G2</f>
        <v>420</v>
      </c>
    </row>
    <row r="3" spans="1:8">
      <c r="A3" t="s">
        <v>21</v>
      </c>
      <c r="B3">
        <v>3000</v>
      </c>
      <c r="H3">
        <f t="shared" si="0"/>
        <v>0</v>
      </c>
    </row>
    <row r="4" spans="1:8">
      <c r="A4" t="s">
        <v>24</v>
      </c>
      <c r="H4">
        <f t="shared" si="0"/>
        <v>0</v>
      </c>
    </row>
    <row r="5" spans="1:8">
      <c r="A5" t="s">
        <v>25</v>
      </c>
      <c r="H5">
        <f t="shared" si="0"/>
        <v>0</v>
      </c>
    </row>
    <row r="6" spans="8:8">
      <c r="H6">
        <f t="shared" si="0"/>
        <v>0</v>
      </c>
    </row>
    <row r="7" spans="8:8">
      <c r="H7">
        <f t="shared" si="0"/>
        <v>0</v>
      </c>
    </row>
    <row r="8" spans="8:8">
      <c r="H8">
        <f t="shared" si="0"/>
        <v>0</v>
      </c>
    </row>
    <row r="9" spans="8:8">
      <c r="H9">
        <f t="shared" si="0"/>
        <v>0</v>
      </c>
    </row>
    <row r="10" spans="8:8">
      <c r="H10">
        <f t="shared" si="0"/>
        <v>0</v>
      </c>
    </row>
    <row r="11" spans="8:8">
      <c r="H11">
        <f t="shared" si="0"/>
        <v>0</v>
      </c>
    </row>
    <row r="12" spans="8:8">
      <c r="H12">
        <f t="shared" si="0"/>
        <v>0</v>
      </c>
    </row>
    <row r="13" spans="8:8">
      <c r="H13">
        <f t="shared" si="0"/>
        <v>0</v>
      </c>
    </row>
    <row r="14" spans="8:8">
      <c r="H14">
        <f t="shared" si="0"/>
        <v>0</v>
      </c>
    </row>
    <row r="15" spans="8:8">
      <c r="H15">
        <f t="shared" si="0"/>
        <v>0</v>
      </c>
    </row>
    <row r="16" spans="8:8">
      <c r="H16">
        <f t="shared" si="0"/>
        <v>0</v>
      </c>
    </row>
    <row r="17" spans="8:8">
      <c r="H17">
        <f t="shared" si="0"/>
        <v>0</v>
      </c>
    </row>
    <row r="18" spans="8:8">
      <c r="H18">
        <f t="shared" si="0"/>
        <v>0</v>
      </c>
    </row>
    <row r="19" spans="8:8">
      <c r="H19">
        <f t="shared" si="0"/>
        <v>0</v>
      </c>
    </row>
    <row r="20" spans="8:8">
      <c r="H20">
        <f t="shared" si="0"/>
        <v>0</v>
      </c>
    </row>
    <row r="21" spans="8:8">
      <c r="H21">
        <f t="shared" si="0"/>
        <v>0</v>
      </c>
    </row>
    <row r="22" spans="8:8">
      <c r="H22">
        <f t="shared" si="0"/>
        <v>0</v>
      </c>
    </row>
    <row r="23" spans="8:8">
      <c r="H23">
        <f t="shared" si="0"/>
        <v>0</v>
      </c>
    </row>
    <row r="24" spans="8:8">
      <c r="H24">
        <f t="shared" si="0"/>
        <v>0</v>
      </c>
    </row>
    <row r="25" spans="8:8">
      <c r="H25">
        <f t="shared" si="0"/>
        <v>0</v>
      </c>
    </row>
    <row r="26" spans="1:11">
      <c r="A26" t="s">
        <v>26</v>
      </c>
      <c r="B26">
        <f>SUM(H26:K26)</f>
        <v>420</v>
      </c>
      <c r="H26">
        <f>SUM(H2:H25)</f>
        <v>420</v>
      </c>
      <c r="I26">
        <f>SUM(I2:I25)</f>
        <v>0</v>
      </c>
      <c r="K26">
        <f>SUM(K2:K25)</f>
        <v>0</v>
      </c>
    </row>
    <row r="27" spans="1:2">
      <c r="A27" t="s">
        <v>27</v>
      </c>
      <c r="B27">
        <f>SUM(B3:B5)</f>
        <v>3000</v>
      </c>
    </row>
    <row r="28" spans="1:2">
      <c r="A28" t="s">
        <v>28</v>
      </c>
      <c r="B28">
        <f>(B27-B26)/B27</f>
        <v>0.86</v>
      </c>
    </row>
    <row r="36" spans="1:11">
      <c r="A36" t="s">
        <v>0</v>
      </c>
      <c r="B36" t="s">
        <v>1</v>
      </c>
      <c r="C36" t="s">
        <v>2</v>
      </c>
      <c r="D36" t="s">
        <v>3</v>
      </c>
      <c r="E36" t="s">
        <v>4</v>
      </c>
      <c r="F36" t="s">
        <v>5</v>
      </c>
      <c r="G36" t="s">
        <v>6</v>
      </c>
      <c r="H36" t="s">
        <v>7</v>
      </c>
      <c r="I36" t="s">
        <v>8</v>
      </c>
      <c r="J36" t="s">
        <v>9</v>
      </c>
      <c r="K36" t="s">
        <v>10</v>
      </c>
    </row>
    <row r="37" spans="3:8">
      <c r="C37" t="s">
        <v>15</v>
      </c>
      <c r="D37" t="s">
        <v>54</v>
      </c>
      <c r="E37" t="s">
        <v>32</v>
      </c>
      <c r="F37">
        <v>20</v>
      </c>
      <c r="G37">
        <v>13</v>
      </c>
      <c r="H37">
        <f t="shared" ref="H37:H50" si="1">F37*G37</f>
        <v>260</v>
      </c>
    </row>
    <row r="38" spans="1:8">
      <c r="A38" t="s">
        <v>21</v>
      </c>
      <c r="B38">
        <v>1000</v>
      </c>
      <c r="H38">
        <f t="shared" si="1"/>
        <v>0</v>
      </c>
    </row>
    <row r="39" spans="1:8">
      <c r="A39" t="s">
        <v>24</v>
      </c>
      <c r="H39">
        <f t="shared" si="1"/>
        <v>0</v>
      </c>
    </row>
    <row r="40" spans="1:8">
      <c r="A40" t="s">
        <v>25</v>
      </c>
      <c r="H40">
        <f t="shared" si="1"/>
        <v>0</v>
      </c>
    </row>
    <row r="41" spans="8:8">
      <c r="H41">
        <f t="shared" si="1"/>
        <v>0</v>
      </c>
    </row>
    <row r="42" spans="8:8">
      <c r="H42">
        <f t="shared" si="1"/>
        <v>0</v>
      </c>
    </row>
    <row r="43" spans="8:8">
      <c r="H43">
        <f t="shared" si="1"/>
        <v>0</v>
      </c>
    </row>
    <row r="44" spans="8:8">
      <c r="H44">
        <f t="shared" si="1"/>
        <v>0</v>
      </c>
    </row>
    <row r="45" spans="8:8">
      <c r="H45">
        <f t="shared" si="1"/>
        <v>0</v>
      </c>
    </row>
    <row r="46" spans="8:8">
      <c r="H46">
        <f t="shared" si="1"/>
        <v>0</v>
      </c>
    </row>
    <row r="47" spans="8:8">
      <c r="H47">
        <f t="shared" si="1"/>
        <v>0</v>
      </c>
    </row>
    <row r="48" spans="8:8">
      <c r="H48">
        <f t="shared" si="1"/>
        <v>0</v>
      </c>
    </row>
    <row r="49" spans="8:8">
      <c r="H49">
        <f t="shared" si="1"/>
        <v>0</v>
      </c>
    </row>
    <row r="50" spans="8:8">
      <c r="H50">
        <f t="shared" si="1"/>
        <v>0</v>
      </c>
    </row>
    <row r="51" spans="1:11">
      <c r="A51" t="s">
        <v>26</v>
      </c>
      <c r="B51">
        <f>SUM(H51:K51)</f>
        <v>260</v>
      </c>
      <c r="H51">
        <f>SUM(H37:H50)</f>
        <v>260</v>
      </c>
      <c r="I51">
        <f>SUM(I37:I50)</f>
        <v>0</v>
      </c>
      <c r="K51">
        <f>SUM(K37:K50)</f>
        <v>0</v>
      </c>
    </row>
    <row r="52" spans="1:2">
      <c r="A52" t="s">
        <v>27</v>
      </c>
      <c r="B52">
        <f>SUM(B38:B40)</f>
        <v>1000</v>
      </c>
    </row>
    <row r="53" spans="1:2">
      <c r="A53" t="s">
        <v>28</v>
      </c>
      <c r="B53">
        <f>(B52-B51)/B52</f>
        <v>0.74</v>
      </c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workbookViewId="0">
      <selection activeCell="A1" sqref="A1"/>
    </sheetView>
  </sheetViews>
  <sheetFormatPr defaultColWidth="9" defaultRowHeight="16.8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3:8">
      <c r="C2" t="s">
        <v>55</v>
      </c>
      <c r="D2" t="s">
        <v>56</v>
      </c>
      <c r="E2" t="s">
        <v>13</v>
      </c>
      <c r="F2">
        <v>25</v>
      </c>
      <c r="G2">
        <v>14</v>
      </c>
      <c r="H2">
        <f t="shared" ref="H2:H25" si="0">F2*G2</f>
        <v>350</v>
      </c>
    </row>
    <row r="3" spans="1:8">
      <c r="A3" t="s">
        <v>21</v>
      </c>
      <c r="H3">
        <f t="shared" si="0"/>
        <v>0</v>
      </c>
    </row>
    <row r="4" spans="1:8">
      <c r="A4" t="s">
        <v>24</v>
      </c>
      <c r="H4">
        <f t="shared" si="0"/>
        <v>0</v>
      </c>
    </row>
    <row r="5" spans="1:8">
      <c r="A5" t="s">
        <v>25</v>
      </c>
      <c r="H5">
        <f t="shared" si="0"/>
        <v>0</v>
      </c>
    </row>
    <row r="6" spans="8:8">
      <c r="H6">
        <f t="shared" si="0"/>
        <v>0</v>
      </c>
    </row>
    <row r="7" spans="8:8">
      <c r="H7">
        <f t="shared" si="0"/>
        <v>0</v>
      </c>
    </row>
    <row r="8" spans="8:8">
      <c r="H8">
        <f t="shared" si="0"/>
        <v>0</v>
      </c>
    </row>
    <row r="9" spans="8:8">
      <c r="H9">
        <f t="shared" si="0"/>
        <v>0</v>
      </c>
    </row>
    <row r="10" spans="8:8">
      <c r="H10">
        <f t="shared" si="0"/>
        <v>0</v>
      </c>
    </row>
    <row r="11" spans="8:8">
      <c r="H11">
        <f t="shared" si="0"/>
        <v>0</v>
      </c>
    </row>
    <row r="12" spans="8:8">
      <c r="H12">
        <f t="shared" si="0"/>
        <v>0</v>
      </c>
    </row>
    <row r="13" spans="8:8">
      <c r="H13">
        <f t="shared" si="0"/>
        <v>0</v>
      </c>
    </row>
    <row r="14" spans="8:8">
      <c r="H14">
        <f t="shared" si="0"/>
        <v>0</v>
      </c>
    </row>
    <row r="15" spans="8:8">
      <c r="H15">
        <f t="shared" si="0"/>
        <v>0</v>
      </c>
    </row>
    <row r="16" spans="8:8">
      <c r="H16">
        <f t="shared" si="0"/>
        <v>0</v>
      </c>
    </row>
    <row r="17" spans="8:8">
      <c r="H17">
        <f t="shared" si="0"/>
        <v>0</v>
      </c>
    </row>
    <row r="18" spans="8:8">
      <c r="H18">
        <f t="shared" si="0"/>
        <v>0</v>
      </c>
    </row>
    <row r="19" spans="8:8">
      <c r="H19">
        <f t="shared" si="0"/>
        <v>0</v>
      </c>
    </row>
    <row r="20" spans="8:8">
      <c r="H20">
        <f t="shared" si="0"/>
        <v>0</v>
      </c>
    </row>
    <row r="21" spans="8:8">
      <c r="H21">
        <f t="shared" si="0"/>
        <v>0</v>
      </c>
    </row>
    <row r="22" spans="8:8">
      <c r="H22">
        <f t="shared" si="0"/>
        <v>0</v>
      </c>
    </row>
    <row r="23" spans="8:8">
      <c r="H23">
        <f t="shared" si="0"/>
        <v>0</v>
      </c>
    </row>
    <row r="24" spans="8:8">
      <c r="H24">
        <f t="shared" si="0"/>
        <v>0</v>
      </c>
    </row>
    <row r="25" spans="8:8">
      <c r="H25">
        <f t="shared" si="0"/>
        <v>0</v>
      </c>
    </row>
    <row r="26" spans="1:11">
      <c r="A26" t="s">
        <v>26</v>
      </c>
      <c r="B26">
        <f>SUM(H26:K26)</f>
        <v>350</v>
      </c>
      <c r="H26">
        <f>SUM(H2:H25)</f>
        <v>350</v>
      </c>
      <c r="I26">
        <f>SUM(I2:I25)</f>
        <v>0</v>
      </c>
      <c r="K26">
        <f>SUM(K2:K25)</f>
        <v>0</v>
      </c>
    </row>
    <row r="27" spans="1:2">
      <c r="A27" t="s">
        <v>27</v>
      </c>
      <c r="B27">
        <f>SUM(B3:B5)</f>
        <v>0</v>
      </c>
    </row>
    <row r="28" spans="1:2">
      <c r="A28" t="s">
        <v>28</v>
      </c>
      <c r="B28" t="e">
        <f>(B27-B26)/B27</f>
        <v>#DIV/0!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workbookViewId="0">
      <selection activeCell="A1" sqref="A1"/>
    </sheetView>
  </sheetViews>
  <sheetFormatPr defaultColWidth="9" defaultRowHeight="16.8" outlineLevelRow="1" outlineLevelCol="5"/>
  <sheetData>
    <row r="1" spans="1:6">
      <c r="A1" t="s">
        <v>57</v>
      </c>
      <c r="F1" t="s">
        <v>58</v>
      </c>
    </row>
    <row r="2" spans="1:3">
      <c r="A2" t="s">
        <v>59</v>
      </c>
      <c r="B2" t="s">
        <v>3</v>
      </c>
      <c r="C2" t="s">
        <v>60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A1" sqref="A1"/>
    </sheetView>
  </sheetViews>
  <sheetFormatPr defaultColWidth="9" defaultRowHeight="16.8" outlineLevelRow="1"/>
  <sheetData>
    <row r="1" spans="1:1">
      <c r="A1" t="s">
        <v>61</v>
      </c>
    </row>
    <row r="2" spans="1:1">
      <c r="A2" t="s">
        <v>62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Jan 26</vt:lpstr>
      <vt:lpstr>Sep 25</vt:lpstr>
      <vt:lpstr>Apr 25</vt:lpstr>
      <vt:lpstr>Balance</vt:lpstr>
      <vt:lpstr>T4a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Hongming Wang</cp:lastModifiedBy>
  <dcterms:created xsi:type="dcterms:W3CDTF">2026-04-07T18:48:00Z</dcterms:created>
  <dcterms:modified xsi:type="dcterms:W3CDTF">2026-04-07T20:03:34Z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B8581A809633048679C5D569FF56678D_42</vt:lpwstr>
  </property>
  <property fmtid="{D5CDD505-2E9C-101B-9397-08002B2CF9AE}" pid="3" name="KSOProductBuildVer">
    <vt:lpwstr>1033-6.14.0.8716</vt:lpwstr>
  </property>
</Properties>
</file>
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 26" state="visible" r:id="rId4"/>
    <sheet sheetId="2" name="Sep 25" state="visible" r:id="rId5"/>
    <sheet sheetId="3" name="Apr 25" state="visible" r:id="rId6"/>
    <sheet sheetId="4" name="Balance" state="visible" r:id="rId7"/>
    <sheet sheetId="5" name="T4a" state="visible" r:id="rId8"/>
  </sheets>
  <calcPr calcId="171027"/>
</workbook>
</file>

<file path=xl/sharedStrings.xml><?xml version="1.0" encoding="utf-8"?>
<sst xmlns="http://schemas.openxmlformats.org/spreadsheetml/2006/main" count="213" uniqueCount="56">
  <si>
    <t>单号</t>
  </si>
  <si>
    <t>负责人</t>
  </si>
  <si>
    <t>客户名+项目</t>
  </si>
  <si>
    <t>日期</t>
  </si>
  <si>
    <t>工人</t>
  </si>
  <si>
    <t>工时</t>
  </si>
  <si>
    <t>hourly rate</t>
  </si>
  <si>
    <t>开销</t>
  </si>
  <si>
    <t>其他开销</t>
  </si>
  <si>
    <t>Note</t>
  </si>
  <si>
    <t>材料开销</t>
  </si>
  <si>
    <t>Chi Man</t>
  </si>
  <si>
    <t>1月上</t>
  </si>
  <si>
    <t>阿华</t>
  </si>
  <si>
    <t>电工定金</t>
  </si>
  <si>
    <t>7217 Bridlewood</t>
  </si>
  <si>
    <t>钢梁定金</t>
  </si>
  <si>
    <t>2026-01-17</t>
  </si>
  <si>
    <t>Burnaby</t>
  </si>
  <si>
    <t>Andy水工80%</t>
  </si>
  <si>
    <t>1月中</t>
  </si>
  <si>
    <t>第一笔款</t>
  </si>
  <si>
    <t>定金材料</t>
  </si>
  <si>
    <t>1月</t>
  </si>
  <si>
    <t>第二笔款</t>
  </si>
  <si>
    <t>第三笔款</t>
  </si>
  <si>
    <t>总开销</t>
  </si>
  <si>
    <t>总价格</t>
  </si>
  <si>
    <t>利润率</t>
  </si>
  <si>
    <t>unit 5</t>
  </si>
  <si>
    <t>1530 Oak Street</t>
  </si>
  <si>
    <t>2月上</t>
  </si>
  <si>
    <t>老赵</t>
  </si>
  <si>
    <t>Vancouver</t>
  </si>
  <si>
    <t>5880 Dover</t>
  </si>
  <si>
    <t>补砖</t>
  </si>
  <si>
    <t>Richmond</t>
  </si>
  <si>
    <t>老赵材料</t>
  </si>
  <si>
    <t>Aaron 水工</t>
  </si>
  <si>
    <t>2月19</t>
  </si>
  <si>
    <t>Chris 台面</t>
  </si>
  <si>
    <t>3月1</t>
  </si>
  <si>
    <t>302</t>
  </si>
  <si>
    <t>Marco Project</t>
  </si>
  <si>
    <t>53 Maple Ave</t>
  </si>
  <si>
    <t>9000 Ash Grove Crescent</t>
  </si>
  <si>
    <t>10月上</t>
  </si>
  <si>
    <t>9月上</t>
  </si>
  <si>
    <t>6033 Williams Rd</t>
  </si>
  <si>
    <t>4月上</t>
  </si>
  <si>
    <t>Income</t>
  </si>
  <si>
    <t>total</t>
  </si>
  <si>
    <t>项目</t>
  </si>
  <si>
    <t>金额</t>
  </si>
  <si>
    <t>所有人的</t>
  </si>
  <si>
    <t>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</si>
</sst>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3:12" x14ac:dyDescent="0.25">
      <c r="C2" t="s">
        <v>11</v>
      </c>
      <c r="D2" t="s">
        <v>12</v>
      </c>
      <c r="E2" t="s">
        <v>13</v>
      </c>
      <c r="F2">
        <v>49.5</v>
      </c>
      <c r="G2">
        <v>14</v>
      </c>
      <c r="H2">
        <f>F2*G2</f>
      </c>
      <c r="K2">
        <v>6300</v>
      </c>
      <c r="L2" t="s">
        <v>14</v>
      </c>
    </row>
    <row r="3" spans="3:13" x14ac:dyDescent="0.25">
      <c r="C3" t="s">
        <v>15</v>
      </c>
      <c r="D3" t="s">
        <v>12</v>
      </c>
      <c r="E3" t="s">
        <v>13</v>
      </c>
      <c r="F3">
        <v>50</v>
      </c>
      <c r="G3">
        <v>14</v>
      </c>
      <c r="H3">
        <f>F3*G3</f>
      </c>
      <c r="K3">
        <v>1000</v>
      </c>
      <c r="L3" t="s">
        <v>16</v>
      </c>
      <c r="M3" t="s">
        <v>17</v>
      </c>
    </row>
    <row r="4" spans="3:13" x14ac:dyDescent="0.25">
      <c r="C4" t="s">
        <v>18</v>
      </c>
      <c r="H4">
        <f>F4*G4</f>
      </c>
      <c r="K4">
        <v>8400</v>
      </c>
      <c r="L4" t="s">
        <v>19</v>
      </c>
      <c r="M4" t="s">
        <v>20</v>
      </c>
    </row>
    <row r="5" spans="1:13" x14ac:dyDescent="0.25">
      <c r="A5" t="s">
        <v>21</v>
      </c>
      <c r="B5">
        <v>4000</v>
      </c>
      <c r="H5">
        <f>F5*G5</f>
      </c>
      <c r="K5">
        <v>500</v>
      </c>
      <c r="L5" t="s">
        <v>22</v>
      </c>
      <c r="M5" t="s">
        <v>23</v>
      </c>
    </row>
    <row r="6" spans="1:8" x14ac:dyDescent="0.25">
      <c r="A6" t="s">
        <v>24</v>
      </c>
      <c r="H6">
        <f>F6*G6</f>
      </c>
    </row>
    <row r="7" spans="1:8" x14ac:dyDescent="0.25">
      <c r="A7" t="s">
        <v>25</v>
      </c>
      <c r="H7">
        <f>F7*G7</f>
      </c>
    </row>
    <row r="8" spans="8:8" x14ac:dyDescent="0.25">
      <c r="H8">
        <f>F8*G8</f>
      </c>
    </row>
    <row r="9" spans="8:8" x14ac:dyDescent="0.25">
      <c r="H9">
        <f>F9*G9</f>
      </c>
    </row>
    <row r="10" spans="8:8" x14ac:dyDescent="0.25">
      <c r="H10">
        <f>F10*G10</f>
      </c>
    </row>
    <row r="11" spans="8:8" x14ac:dyDescent="0.25">
      <c r="H11">
        <f>F11*G11</f>
      </c>
    </row>
    <row r="12" spans="8:8" x14ac:dyDescent="0.25">
      <c r="H12">
        <f>F12*G12</f>
      </c>
    </row>
    <row r="13" spans="8:8" x14ac:dyDescent="0.25">
      <c r="H13">
        <f>F13*G13</f>
      </c>
    </row>
    <row r="14" spans="8:8" x14ac:dyDescent="0.25">
      <c r="H14">
        <f>F14*G14</f>
      </c>
    </row>
    <row r="15" spans="8:8" x14ac:dyDescent="0.25">
      <c r="H15">
        <f>F15*G15</f>
      </c>
    </row>
    <row r="16" spans="8:8" x14ac:dyDescent="0.25">
      <c r="H16">
        <f>F16*G16</f>
      </c>
    </row>
    <row r="17" spans="8:8" x14ac:dyDescent="0.25">
      <c r="H17">
        <f>F17*G17</f>
      </c>
    </row>
    <row r="18" spans="8:8" x14ac:dyDescent="0.25">
      <c r="H18">
        <f>F18*G18</f>
      </c>
    </row>
    <row r="19" spans="8:8" x14ac:dyDescent="0.25">
      <c r="H19">
        <f>F19*G19</f>
      </c>
    </row>
    <row r="20" spans="8:8" x14ac:dyDescent="0.25">
      <c r="H20">
        <f>F20*G20</f>
      </c>
    </row>
    <row r="21" spans="8:8" x14ac:dyDescent="0.25">
      <c r="H21">
        <f>F21*G21</f>
      </c>
    </row>
    <row r="22" spans="8:8" x14ac:dyDescent="0.25">
      <c r="H22">
        <f>F22*G22</f>
      </c>
    </row>
    <row r="23" spans="8:8" x14ac:dyDescent="0.25">
      <c r="H23">
        <f>F23*G23</f>
      </c>
    </row>
    <row r="24" spans="8:8" x14ac:dyDescent="0.25">
      <c r="H24">
        <f>F24*G24</f>
      </c>
    </row>
    <row r="25" spans="8:8" x14ac:dyDescent="0.25">
      <c r="H25">
        <f>F25*G25</f>
      </c>
    </row>
    <row r="26" spans="8:8" x14ac:dyDescent="0.25">
      <c r="H26">
        <f>F26*G26</f>
      </c>
    </row>
    <row r="27" spans="8:8" x14ac:dyDescent="0.25">
      <c r="H27">
        <f>F27*G27</f>
      </c>
    </row>
    <row r="28" spans="1:11" x14ac:dyDescent="0.25">
      <c r="A28" t="s">
        <v>26</v>
      </c>
      <c r="B28">
        <f>SUM(H28:K28)</f>
      </c>
      <c r="H28">
        <f>SUM(H2:H27)</f>
      </c>
      <c r="I28">
        <f>SUM(I2:I27)</f>
      </c>
      <c r="K28">
        <f>SUM(K2:K27)</f>
      </c>
    </row>
    <row r="29" spans="1:2" x14ac:dyDescent="0.25">
      <c r="A29" t="s">
        <v>27</v>
      </c>
      <c r="B29">
        <f>SUM(B5:B7)</f>
      </c>
    </row>
    <row r="30" spans="1:2" x14ac:dyDescent="0.25">
      <c r="A30" t="s">
        <v>28</v>
      </c>
      <c r="B30">
        <f>(B29-B28)/B29</f>
      </c>
    </row>
    <row r="36" spans="1:1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</row>
    <row r="37" spans="1:8" x14ac:dyDescent="0.25">
      <c r="A37" t="s">
        <v>29</v>
      </c>
      <c r="C37" t="s">
        <v>30</v>
      </c>
      <c r="D37" t="s">
        <v>31</v>
      </c>
      <c r="E37" t="s">
        <v>32</v>
      </c>
      <c r="F37">
        <v>30</v>
      </c>
      <c r="G37">
        <v>15</v>
      </c>
      <c r="H37">
        <f>F37*G37</f>
      </c>
    </row>
    <row r="38" spans="3:8" x14ac:dyDescent="0.25">
      <c r="C38" t="s">
        <v>33</v>
      </c>
      <c r="H38">
        <f>F38*G38</f>
      </c>
    </row>
    <row r="39" spans="1:8" x14ac:dyDescent="0.25">
      <c r="A39" t="s">
        <v>21</v>
      </c>
      <c r="B39">
        <v>2000</v>
      </c>
      <c r="H39">
        <f>F39*G39</f>
      </c>
    </row>
    <row r="40" spans="1:8" x14ac:dyDescent="0.25">
      <c r="A40" t="s">
        <v>24</v>
      </c>
      <c r="H40">
        <f>F40*G40</f>
      </c>
    </row>
    <row r="41" spans="1:8" x14ac:dyDescent="0.25">
      <c r="A41" t="s">
        <v>25</v>
      </c>
      <c r="H41">
        <f>F41*G41</f>
      </c>
    </row>
    <row r="42" spans="8:8" x14ac:dyDescent="0.25">
      <c r="H42">
        <f>F42*G42</f>
      </c>
    </row>
    <row r="43" spans="8:8" x14ac:dyDescent="0.25">
      <c r="H43">
        <f>F43*G43</f>
      </c>
    </row>
    <row r="44" spans="8:8" x14ac:dyDescent="0.25">
      <c r="H44">
        <f>F44*G44</f>
      </c>
    </row>
    <row r="45" spans="8:8" x14ac:dyDescent="0.25">
      <c r="H45">
        <f>F45*G45</f>
      </c>
    </row>
    <row r="46" spans="8:8" x14ac:dyDescent="0.25">
      <c r="H46">
        <f>F46*G46</f>
      </c>
    </row>
    <row r="47" spans="8:8" x14ac:dyDescent="0.25">
      <c r="H47">
        <f>F47*G47</f>
      </c>
    </row>
    <row r="48" spans="8:8" x14ac:dyDescent="0.25">
      <c r="H48">
        <f>F48*G48</f>
      </c>
    </row>
    <row r="49" spans="8:8" x14ac:dyDescent="0.25">
      <c r="H49">
        <f>F49*G49</f>
      </c>
    </row>
    <row r="50" spans="1:11" x14ac:dyDescent="0.25">
      <c r="A50" t="s">
        <v>26</v>
      </c>
      <c r="B50">
        <f>SUM(H50:K50)</f>
      </c>
      <c r="H50">
        <f>SUM(H37:H49)</f>
      </c>
      <c r="I50">
        <f>SUM(I37:I49)</f>
      </c>
      <c r="K50">
        <f>SUM(K37:K49)</f>
      </c>
    </row>
    <row r="51" spans="1:2" x14ac:dyDescent="0.25">
      <c r="A51" t="s">
        <v>27</v>
      </c>
      <c r="B51">
        <f>SUM(B39:B41)</f>
      </c>
    </row>
    <row r="52" spans="1:2" x14ac:dyDescent="0.25">
      <c r="A52" t="s">
        <v>28</v>
      </c>
      <c r="B52">
        <f>(B51-B50)/B51</f>
      </c>
    </row>
    <row r="55" spans="1:1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</row>
    <row r="56" spans="3:12" x14ac:dyDescent="0.25">
      <c r="C56" t="s">
        <v>34</v>
      </c>
      <c r="D56" t="s">
        <v>12</v>
      </c>
      <c r="E56" t="s">
        <v>32</v>
      </c>
      <c r="F56">
        <v>69.5</v>
      </c>
      <c r="G56">
        <v>13</v>
      </c>
      <c r="H56">
        <f>F56*G56</f>
      </c>
      <c r="K56">
        <v>92.76</v>
      </c>
      <c r="L56" t="s">
        <v>35</v>
      </c>
    </row>
    <row r="57" spans="3:13" x14ac:dyDescent="0.25">
      <c r="C57" t="s">
        <v>36</v>
      </c>
      <c r="H57">
        <f>F57*G57</f>
      </c>
      <c r="K57">
        <v>78.62</v>
      </c>
      <c r="L57" t="s">
        <v>37</v>
      </c>
      <c r="M57" t="s">
        <v>12</v>
      </c>
    </row>
    <row r="58" spans="3:8" x14ac:dyDescent="0.25">
      <c r="C58" t="s">
        <v>34</v>
      </c>
      <c r="D58" t="s">
        <v>20</v>
      </c>
      <c r="E58" t="s">
        <v>13</v>
      </c>
      <c r="F58">
        <v>20</v>
      </c>
      <c r="G58">
        <v>14</v>
      </c>
      <c r="H58">
        <f>F58*G58</f>
      </c>
    </row>
    <row r="59" spans="3:9" x14ac:dyDescent="0.25">
      <c r="C59" t="s">
        <v>34</v>
      </c>
      <c r="D59" t="s">
        <v>31</v>
      </c>
      <c r="E59" t="s">
        <v>32</v>
      </c>
      <c r="F59">
        <v>15</v>
      </c>
      <c r="G59">
        <v>13</v>
      </c>
      <c r="H59">
        <f>F59*G59</f>
      </c>
      <c r="I59">
        <v>50</v>
      </c>
    </row>
    <row r="60" spans="1:13" x14ac:dyDescent="0.25">
      <c r="A60" t="s">
        <v>21</v>
      </c>
      <c r="B60">
        <v>1500</v>
      </c>
      <c r="H60">
        <f>F60*G60</f>
      </c>
      <c r="K60">
        <v>1260</v>
      </c>
      <c r="L60" t="s">
        <v>38</v>
      </c>
      <c r="M60" t="s">
        <v>39</v>
      </c>
    </row>
    <row r="61" spans="1:13" x14ac:dyDescent="0.25">
      <c r="A61" t="s">
        <v>24</v>
      </c>
      <c r="B61">
        <v>800</v>
      </c>
      <c r="H61">
        <f>F61*G61</f>
      </c>
      <c r="K61">
        <v>700</v>
      </c>
      <c r="L61" t="s">
        <v>40</v>
      </c>
      <c r="M61" t="s">
        <v>41</v>
      </c>
    </row>
    <row r="62" spans="1:8" x14ac:dyDescent="0.25">
      <c r="A62" t="s">
        <v>25</v>
      </c>
      <c r="H62">
        <f>F62*G62</f>
      </c>
    </row>
    <row r="63" spans="1:11" x14ac:dyDescent="0.25">
      <c r="A63" t="s">
        <v>26</v>
      </c>
      <c r="B63">
        <f>SUM(H63:K63)</f>
      </c>
      <c r="H63">
        <f>SUM(H56:H62)</f>
      </c>
      <c r="I63">
        <f>SUM(I56:I62)</f>
      </c>
      <c r="K63">
        <f>SUM(K56:K62)</f>
      </c>
    </row>
    <row r="64" spans="1:2" x14ac:dyDescent="0.25">
      <c r="A64" t="s">
        <v>27</v>
      </c>
      <c r="B64">
        <f>SUM(B60:B62)</f>
      </c>
    </row>
    <row r="65" spans="1:2" x14ac:dyDescent="0.25">
      <c r="A65" t="s">
        <v>28</v>
      </c>
      <c r="B65">
        <f>(B64-B63)/B64</f>
      </c>
    </row>
    <row r="70" spans="1:1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</row>
    <row r="71" spans="1:8" x14ac:dyDescent="0.25">
      <c r="A71" t="s">
        <v>42</v>
      </c>
      <c r="C71" t="s">
        <v>43</v>
      </c>
      <c r="D71" t="s">
        <v>12</v>
      </c>
      <c r="E71" t="s">
        <v>13</v>
      </c>
      <c r="F71">
        <v>40</v>
      </c>
      <c r="G71">
        <v>14</v>
      </c>
      <c r="H71">
        <f>F71*G71</f>
      </c>
    </row>
    <row r="72" spans="1:8" x14ac:dyDescent="0.25">
      <c r="A72" t="s">
        <v>21</v>
      </c>
      <c r="H72">
        <f>F72*G72</f>
      </c>
    </row>
    <row r="73" spans="1:8" x14ac:dyDescent="0.25">
      <c r="A73" t="s">
        <v>24</v>
      </c>
      <c r="H73">
        <f>F73*G73</f>
      </c>
    </row>
    <row r="74" spans="1:8" x14ac:dyDescent="0.25">
      <c r="A74" t="s">
        <v>25</v>
      </c>
      <c r="H74">
        <f>F74*G74</f>
      </c>
    </row>
    <row r="75" spans="8:8" x14ac:dyDescent="0.25">
      <c r="H75">
        <f>F75*G75</f>
      </c>
    </row>
    <row r="76" spans="8:8" x14ac:dyDescent="0.25">
      <c r="H76">
        <f>F76*G76</f>
      </c>
    </row>
    <row r="77" spans="8:8" x14ac:dyDescent="0.25">
      <c r="H77">
        <f>F77*G77</f>
      </c>
    </row>
    <row r="78" spans="8:8" x14ac:dyDescent="0.25">
      <c r="H78">
        <f>F78*G78</f>
      </c>
    </row>
    <row r="79" spans="8:8" x14ac:dyDescent="0.25">
      <c r="H79">
        <f>F79*G79</f>
      </c>
    </row>
    <row r="80" spans="8:8" x14ac:dyDescent="0.25">
      <c r="H80">
        <f>F80*G80</f>
      </c>
    </row>
    <row r="81" spans="8:8" x14ac:dyDescent="0.25">
      <c r="H81">
        <f>F81*G81</f>
      </c>
    </row>
    <row r="82" spans="8:8" x14ac:dyDescent="0.25">
      <c r="H82">
        <f>F82*G82</f>
      </c>
    </row>
    <row r="83" spans="8:8" x14ac:dyDescent="0.25">
      <c r="H83">
        <f>F83*G83</f>
      </c>
    </row>
    <row r="84" spans="8:8" x14ac:dyDescent="0.25">
      <c r="H84">
        <f>F84*G84</f>
      </c>
    </row>
    <row r="85" spans="8:8" x14ac:dyDescent="0.25">
      <c r="H85">
        <f>F85*G85</f>
      </c>
    </row>
    <row r="86" spans="8:8" x14ac:dyDescent="0.25">
      <c r="H86">
        <f>F86*G86</f>
      </c>
    </row>
    <row r="87" spans="8:8" x14ac:dyDescent="0.25">
      <c r="H87">
        <f>F87*G87</f>
      </c>
    </row>
    <row r="88" spans="8:8" x14ac:dyDescent="0.25">
      <c r="H88">
        <f>F88*G88</f>
      </c>
    </row>
    <row r="89" spans="8:8" x14ac:dyDescent="0.25">
      <c r="H89">
        <f>F89*G89</f>
      </c>
    </row>
    <row r="90" spans="1:11" x14ac:dyDescent="0.25">
      <c r="A90" t="s">
        <v>26</v>
      </c>
      <c r="B90">
        <f>SUM(H90:K90)</f>
      </c>
      <c r="H90">
        <f>SUM(H71:H89)</f>
      </c>
      <c r="I90">
        <f>SUM(I71:I89)</f>
      </c>
      <c r="K90">
        <f>SUM(K71:K89)</f>
      </c>
    </row>
    <row r="91" spans="1:2" x14ac:dyDescent="0.25">
      <c r="A91" t="s">
        <v>27</v>
      </c>
      <c r="B91">
        <f>SUM(B72:B74)</f>
      </c>
    </row>
    <row r="92" spans="1:2" x14ac:dyDescent="0.25">
      <c r="A92" t="s">
        <v>28</v>
      </c>
      <c r="B92">
        <f>(B91-B90)/B91</f>
      </c>
    </row>
    <row r="95" spans="1:1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</row>
    <row r="96" spans="3:8" x14ac:dyDescent="0.25">
      <c r="C96" t="s">
        <v>44</v>
      </c>
      <c r="D96" t="s">
        <v>31</v>
      </c>
      <c r="E96" t="s">
        <v>32</v>
      </c>
      <c r="F96">
        <v>10</v>
      </c>
      <c r="G96">
        <v>13</v>
      </c>
      <c r="H96">
        <f>F96*G96</f>
      </c>
    </row>
    <row r="97" spans="1:8" x14ac:dyDescent="0.25">
      <c r="A97" t="s">
        <v>21</v>
      </c>
      <c r="H97">
        <f>F97*G97</f>
      </c>
    </row>
    <row r="98" spans="1:8" x14ac:dyDescent="0.25">
      <c r="A98" t="s">
        <v>24</v>
      </c>
      <c r="H98">
        <f>F98*G98</f>
      </c>
    </row>
    <row r="99" spans="1:8" x14ac:dyDescent="0.25">
      <c r="A99" t="s">
        <v>25</v>
      </c>
      <c r="H99">
        <f>F99*G99</f>
      </c>
    </row>
    <row r="100" spans="8:8" x14ac:dyDescent="0.25">
      <c r="H100">
        <f>F100*G100</f>
      </c>
    </row>
    <row r="101" spans="8:8" x14ac:dyDescent="0.25">
      <c r="H101">
        <f>F101*G101</f>
      </c>
    </row>
    <row r="102" spans="8:8" x14ac:dyDescent="0.25">
      <c r="H102">
        <f>F102*G102</f>
      </c>
    </row>
    <row r="103" spans="8:8" x14ac:dyDescent="0.25">
      <c r="H103">
        <f>F103*G103</f>
      </c>
    </row>
    <row r="104" spans="8:8" x14ac:dyDescent="0.25">
      <c r="H104">
        <f>F104*G104</f>
      </c>
    </row>
    <row r="105" spans="8:8" x14ac:dyDescent="0.25">
      <c r="H105">
        <f>F105*G105</f>
      </c>
    </row>
    <row r="106" spans="8:8" x14ac:dyDescent="0.25">
      <c r="H106">
        <f>F106*G106</f>
      </c>
    </row>
    <row r="107" spans="8:8" x14ac:dyDescent="0.25">
      <c r="H107">
        <f>F107*G107</f>
      </c>
    </row>
    <row r="108" spans="8:8" x14ac:dyDescent="0.25">
      <c r="H108">
        <f>F108*G108</f>
      </c>
    </row>
    <row r="109" spans="8:8" x14ac:dyDescent="0.25">
      <c r="H109">
        <f>F109*G109</f>
      </c>
    </row>
    <row r="110" spans="8:8" x14ac:dyDescent="0.25">
      <c r="H110">
        <f>F110*G110</f>
      </c>
    </row>
    <row r="111" spans="8:8" x14ac:dyDescent="0.25">
      <c r="H111">
        <f>F111*G111</f>
      </c>
    </row>
    <row r="112" spans="8:8" x14ac:dyDescent="0.25">
      <c r="H112">
        <f>F112*G112</f>
      </c>
    </row>
    <row r="113" spans="8:8" x14ac:dyDescent="0.25">
      <c r="H113">
        <f>F113*G113</f>
      </c>
    </row>
    <row r="114" spans="8:8" x14ac:dyDescent="0.25">
      <c r="H114">
        <f>F114*G114</f>
      </c>
    </row>
    <row r="115" spans="1:11" x14ac:dyDescent="0.25">
      <c r="A115" t="s">
        <v>26</v>
      </c>
      <c r="B115">
        <f>SUM(H115:K115)</f>
      </c>
      <c r="H115">
        <f>SUM(H96:H114)</f>
      </c>
      <c r="I115">
        <f>SUM(I96:I114)</f>
      </c>
      <c r="K115">
        <f>SUM(K96:K114)</f>
      </c>
    </row>
    <row r="116" spans="1:2" x14ac:dyDescent="0.25">
      <c r="A116" t="s">
        <v>27</v>
      </c>
      <c r="B116">
        <f>SUM(B97:B99)</f>
      </c>
    </row>
    <row r="117" spans="1:2" x14ac:dyDescent="0.25">
      <c r="A117" t="s">
        <v>28</v>
      </c>
      <c r="B117">
        <f>(B116-B115)/B116</f>
      </c>
    </row>
    <row r="120" spans="1:1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</row>
    <row r="121" spans="3:8" x14ac:dyDescent="0.25">
      <c r="C121" t="s">
        <v>2</v>
      </c>
      <c r="H121">
        <f>F121*G121</f>
      </c>
    </row>
    <row r="122" spans="1:8" x14ac:dyDescent="0.25">
      <c r="A122" t="s">
        <v>21</v>
      </c>
      <c r="H122">
        <f>F122*G122</f>
      </c>
    </row>
    <row r="123" spans="1:8" x14ac:dyDescent="0.25">
      <c r="A123" t="s">
        <v>24</v>
      </c>
      <c r="H123">
        <f>F123*G123</f>
      </c>
    </row>
    <row r="124" spans="1:8" x14ac:dyDescent="0.25">
      <c r="A124" t="s">
        <v>25</v>
      </c>
      <c r="H124">
        <f>F124*G124</f>
      </c>
    </row>
    <row r="125" spans="8:8" x14ac:dyDescent="0.25">
      <c r="H125">
        <f>F125*G125</f>
      </c>
    </row>
    <row r="126" spans="8:8" x14ac:dyDescent="0.25">
      <c r="H126">
        <f>F126*G126</f>
      </c>
    </row>
    <row r="127" spans="8:8" x14ac:dyDescent="0.25">
      <c r="H127">
        <f>F127*G127</f>
      </c>
    </row>
    <row r="128" spans="8:8" x14ac:dyDescent="0.25">
      <c r="H128">
        <f>F128*G128</f>
      </c>
    </row>
    <row r="129" spans="8:8" x14ac:dyDescent="0.25">
      <c r="H129">
        <f>F129*G129</f>
      </c>
    </row>
    <row r="130" spans="8:8" x14ac:dyDescent="0.25">
      <c r="H130">
        <f>F130*G130</f>
      </c>
    </row>
    <row r="131" spans="8:8" x14ac:dyDescent="0.25">
      <c r="H131">
        <f>F131*G131</f>
      </c>
    </row>
    <row r="132" spans="8:8" x14ac:dyDescent="0.25">
      <c r="H132">
        <f>F132*G132</f>
      </c>
    </row>
    <row r="133" spans="8:8" x14ac:dyDescent="0.25">
      <c r="H133">
        <f>F133*G133</f>
      </c>
    </row>
    <row r="134" spans="8:8" x14ac:dyDescent="0.25">
      <c r="H134">
        <f>F134*G134</f>
      </c>
    </row>
    <row r="135" spans="8:8" x14ac:dyDescent="0.25">
      <c r="H135">
        <f>F135*G135</f>
      </c>
    </row>
    <row r="136" spans="8:8" x14ac:dyDescent="0.25">
      <c r="H136">
        <f>F136*G136</f>
      </c>
    </row>
    <row r="137" spans="8:8" x14ac:dyDescent="0.25">
      <c r="H137">
        <f>F137*G137</f>
      </c>
    </row>
    <row r="138" spans="8:8" x14ac:dyDescent="0.25">
      <c r="H138">
        <f>F138*G138</f>
      </c>
    </row>
    <row r="139" spans="8:8" x14ac:dyDescent="0.25">
      <c r="H139">
        <f>F139*G139</f>
      </c>
    </row>
    <row r="140" spans="1:11" x14ac:dyDescent="0.25">
      <c r="A140" t="s">
        <v>26</v>
      </c>
      <c r="B140">
        <f>SUM(H140:K140)</f>
      </c>
      <c r="H140">
        <f>SUM(H121:H139)</f>
      </c>
      <c r="I140">
        <f>SUM(I121:I139)</f>
      </c>
      <c r="K140">
        <f>SUM(K121:K139)</f>
      </c>
    </row>
    <row r="141" spans="1:2" x14ac:dyDescent="0.25">
      <c r="A141" t="s">
        <v>27</v>
      </c>
      <c r="B141">
        <f>SUM(B122:B124)</f>
      </c>
    </row>
    <row r="142" spans="1:2" x14ac:dyDescent="0.25">
      <c r="A142" t="s">
        <v>28</v>
      </c>
      <c r="B142">
        <f>(B141-B140)/B141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3:8" x14ac:dyDescent="0.25">
      <c r="C2" t="s">
        <v>45</v>
      </c>
      <c r="D2" t="s">
        <v>46</v>
      </c>
      <c r="E2" t="s">
        <v>13</v>
      </c>
      <c r="F2">
        <v>30</v>
      </c>
      <c r="G2">
        <v>14</v>
      </c>
      <c r="H2">
        <f>F2*G2</f>
      </c>
    </row>
    <row r="3" spans="1:8" x14ac:dyDescent="0.25">
      <c r="A3" t="s">
        <v>21</v>
      </c>
      <c r="B3">
        <v>3000</v>
      </c>
      <c r="H3">
        <f>F3*G3</f>
      </c>
    </row>
    <row r="4" spans="1:8" x14ac:dyDescent="0.25">
      <c r="A4" t="s">
        <v>24</v>
      </c>
      <c r="H4">
        <f>F4*G4</f>
      </c>
    </row>
    <row r="5" spans="1:8" x14ac:dyDescent="0.25">
      <c r="A5" t="s">
        <v>25</v>
      </c>
      <c r="H5">
        <f>F5*G5</f>
      </c>
    </row>
    <row r="6" spans="8:8" x14ac:dyDescent="0.25">
      <c r="H6">
        <f>F6*G6</f>
      </c>
    </row>
    <row r="7" spans="8:8" x14ac:dyDescent="0.25">
      <c r="H7">
        <f>F7*G7</f>
      </c>
    </row>
    <row r="8" spans="8:8" x14ac:dyDescent="0.25">
      <c r="H8">
        <f>F8*G8</f>
      </c>
    </row>
    <row r="9" spans="8:8" x14ac:dyDescent="0.25">
      <c r="H9">
        <f>F9*G9</f>
      </c>
    </row>
    <row r="10" spans="8:8" x14ac:dyDescent="0.25">
      <c r="H10">
        <f>F10*G10</f>
      </c>
    </row>
    <row r="11" spans="8:8" x14ac:dyDescent="0.25">
      <c r="H11">
        <f>F11*G11</f>
      </c>
    </row>
    <row r="12" spans="8:8" x14ac:dyDescent="0.25">
      <c r="H12">
        <f>F12*G12</f>
      </c>
    </row>
    <row r="13" spans="8:8" x14ac:dyDescent="0.25">
      <c r="H13">
        <f>F13*G13</f>
      </c>
    </row>
    <row r="14" spans="8:8" x14ac:dyDescent="0.25">
      <c r="H14">
        <f>F14*G14</f>
      </c>
    </row>
    <row r="15" spans="8:8" x14ac:dyDescent="0.25">
      <c r="H15">
        <f>F15*G15</f>
      </c>
    </row>
    <row r="16" spans="8:8" x14ac:dyDescent="0.25">
      <c r="H16">
        <f>F16*G16</f>
      </c>
    </row>
    <row r="17" spans="8:8" x14ac:dyDescent="0.25">
      <c r="H17">
        <f>F17*G17</f>
      </c>
    </row>
    <row r="18" spans="8:8" x14ac:dyDescent="0.25">
      <c r="H18">
        <f>F18*G18</f>
      </c>
    </row>
    <row r="19" spans="8:8" x14ac:dyDescent="0.25">
      <c r="H19">
        <f>F19*G19</f>
      </c>
    </row>
    <row r="20" spans="8:8" x14ac:dyDescent="0.25">
      <c r="H20">
        <f>F20*G20</f>
      </c>
    </row>
    <row r="21" spans="8:8" x14ac:dyDescent="0.25">
      <c r="H21">
        <f>F21*G21</f>
      </c>
    </row>
    <row r="22" spans="8:8" x14ac:dyDescent="0.25">
      <c r="H22">
        <f>F22*G22</f>
      </c>
    </row>
    <row r="23" spans="8:8" x14ac:dyDescent="0.25">
      <c r="H23">
        <f>F23*G23</f>
      </c>
    </row>
    <row r="24" spans="8:8" x14ac:dyDescent="0.25">
      <c r="H24">
        <f>F24*G24</f>
      </c>
    </row>
    <row r="25" spans="8:8" x14ac:dyDescent="0.25">
      <c r="H25">
        <f>F25*G25</f>
      </c>
    </row>
    <row r="26" spans="1:11" x14ac:dyDescent="0.25">
      <c r="A26" t="s">
        <v>26</v>
      </c>
      <c r="B26">
        <f>SUM(H26:K26)</f>
      </c>
      <c r="H26">
        <f>SUM(H2:H25)</f>
      </c>
      <c r="I26">
        <f>SUM(I2:I25)</f>
      </c>
      <c r="K26">
        <f>SUM(K2:K25)</f>
      </c>
    </row>
    <row r="27" spans="1:2" x14ac:dyDescent="0.25">
      <c r="A27" t="s">
        <v>27</v>
      </c>
      <c r="B27">
        <f>SUM(B3:B5)</f>
      </c>
    </row>
    <row r="28" spans="1:2" x14ac:dyDescent="0.25">
      <c r="A28" t="s">
        <v>28</v>
      </c>
      <c r="B28">
        <f>(B27-B26)/B27</f>
      </c>
    </row>
    <row r="36" spans="1:1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</row>
    <row r="37" spans="3:8" x14ac:dyDescent="0.25">
      <c r="C37" t="s">
        <v>15</v>
      </c>
      <c r="D37" t="s">
        <v>47</v>
      </c>
      <c r="E37" t="s">
        <v>32</v>
      </c>
      <c r="F37">
        <v>20</v>
      </c>
      <c r="G37">
        <v>13</v>
      </c>
      <c r="H37">
        <f>F37*G37</f>
      </c>
    </row>
    <row r="38" spans="1:8" x14ac:dyDescent="0.25">
      <c r="A38" t="s">
        <v>21</v>
      </c>
      <c r="B38">
        <v>1000</v>
      </c>
      <c r="H38">
        <f>F38*G38</f>
      </c>
    </row>
    <row r="39" spans="1:8" x14ac:dyDescent="0.25">
      <c r="A39" t="s">
        <v>24</v>
      </c>
      <c r="H39">
        <f>F39*G39</f>
      </c>
    </row>
    <row r="40" spans="1:8" x14ac:dyDescent="0.25">
      <c r="A40" t="s">
        <v>25</v>
      </c>
      <c r="H40">
        <f>F40*G40</f>
      </c>
    </row>
    <row r="41" spans="8:8" x14ac:dyDescent="0.25">
      <c r="H41">
        <f>F41*G41</f>
      </c>
    </row>
    <row r="42" spans="8:8" x14ac:dyDescent="0.25">
      <c r="H42">
        <f>F42*G42</f>
      </c>
    </row>
    <row r="43" spans="8:8" x14ac:dyDescent="0.25">
      <c r="H43">
        <f>F43*G43</f>
      </c>
    </row>
    <row r="44" spans="8:8" x14ac:dyDescent="0.25">
      <c r="H44">
        <f>F44*G44</f>
      </c>
    </row>
    <row r="45" spans="8:8" x14ac:dyDescent="0.25">
      <c r="H45">
        <f>F45*G45</f>
      </c>
    </row>
    <row r="46" spans="8:8" x14ac:dyDescent="0.25">
      <c r="H46">
        <f>F46*G46</f>
      </c>
    </row>
    <row r="47" spans="8:8" x14ac:dyDescent="0.25">
      <c r="H47">
        <f>F47*G47</f>
      </c>
    </row>
    <row r="48" spans="8:8" x14ac:dyDescent="0.25">
      <c r="H48">
        <f>F48*G48</f>
      </c>
    </row>
    <row r="49" spans="8:8" x14ac:dyDescent="0.25">
      <c r="H49">
        <f>F49*G49</f>
      </c>
    </row>
    <row r="50" spans="8:8" x14ac:dyDescent="0.25">
      <c r="H50">
        <f>F50*G50</f>
      </c>
    </row>
    <row r="51" spans="1:11" x14ac:dyDescent="0.25">
      <c r="A51" t="s">
        <v>26</v>
      </c>
      <c r="B51">
        <f>SUM(H51:K51)</f>
      </c>
      <c r="H51">
        <f>SUM(H37:H50)</f>
      </c>
      <c r="I51">
        <f>SUM(I37:I50)</f>
      </c>
      <c r="K51">
        <f>SUM(K37:K50)</f>
      </c>
    </row>
    <row r="52" spans="1:2" x14ac:dyDescent="0.25">
      <c r="A52" t="s">
        <v>27</v>
      </c>
      <c r="B52">
        <f>SUM(B38:B40)</f>
      </c>
    </row>
    <row r="53" spans="1:2" x14ac:dyDescent="0.25">
      <c r="A53" t="s">
        <v>28</v>
      </c>
      <c r="B53">
        <f>(B52-B51)/B52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3:8" x14ac:dyDescent="0.25">
      <c r="C2" t="s">
        <v>48</v>
      </c>
      <c r="D2" t="s">
        <v>49</v>
      </c>
      <c r="E2" t="s">
        <v>13</v>
      </c>
      <c r="F2">
        <v>25</v>
      </c>
      <c r="G2">
        <v>14</v>
      </c>
      <c r="H2">
        <f>F2*G2</f>
      </c>
    </row>
    <row r="3" spans="1:8" x14ac:dyDescent="0.25">
      <c r="A3" t="s">
        <v>21</v>
      </c>
      <c r="H3">
        <f>F3*G3</f>
      </c>
    </row>
    <row r="4" spans="1:8" x14ac:dyDescent="0.25">
      <c r="A4" t="s">
        <v>24</v>
      </c>
      <c r="H4">
        <f>F4*G4</f>
      </c>
    </row>
    <row r="5" spans="1:8" x14ac:dyDescent="0.25">
      <c r="A5" t="s">
        <v>25</v>
      </c>
      <c r="H5">
        <f>F5*G5</f>
      </c>
    </row>
    <row r="6" spans="8:8" x14ac:dyDescent="0.25">
      <c r="H6">
        <f>F6*G6</f>
      </c>
    </row>
    <row r="7" spans="8:8" x14ac:dyDescent="0.25">
      <c r="H7">
        <f>F7*G7</f>
      </c>
    </row>
    <row r="8" spans="8:8" x14ac:dyDescent="0.25">
      <c r="H8">
        <f>F8*G8</f>
      </c>
    </row>
    <row r="9" spans="8:8" x14ac:dyDescent="0.25">
      <c r="H9">
        <f>F9*G9</f>
      </c>
    </row>
    <row r="10" spans="8:8" x14ac:dyDescent="0.25">
      <c r="H10">
        <f>F10*G10</f>
      </c>
    </row>
    <row r="11" spans="8:8" x14ac:dyDescent="0.25">
      <c r="H11">
        <f>F11*G11</f>
      </c>
    </row>
    <row r="12" spans="8:8" x14ac:dyDescent="0.25">
      <c r="H12">
        <f>F12*G12</f>
      </c>
    </row>
    <row r="13" spans="8:8" x14ac:dyDescent="0.25">
      <c r="H13">
        <f>F13*G13</f>
      </c>
    </row>
    <row r="14" spans="8:8" x14ac:dyDescent="0.25">
      <c r="H14">
        <f>F14*G14</f>
      </c>
    </row>
    <row r="15" spans="8:8" x14ac:dyDescent="0.25">
      <c r="H15">
        <f>F15*G15</f>
      </c>
    </row>
    <row r="16" spans="8:8" x14ac:dyDescent="0.25">
      <c r="H16">
        <f>F16*G16</f>
      </c>
    </row>
    <row r="17" spans="8:8" x14ac:dyDescent="0.25">
      <c r="H17">
        <f>F17*G17</f>
      </c>
    </row>
    <row r="18" spans="8:8" x14ac:dyDescent="0.25">
      <c r="H18">
        <f>F18*G18</f>
      </c>
    </row>
    <row r="19" spans="8:8" x14ac:dyDescent="0.25">
      <c r="H19">
        <f>F19*G19</f>
      </c>
    </row>
    <row r="20" spans="8:8" x14ac:dyDescent="0.25">
      <c r="H20">
        <f>F20*G20</f>
      </c>
    </row>
    <row r="21" spans="8:8" x14ac:dyDescent="0.25">
      <c r="H21">
        <f>F21*G21</f>
      </c>
    </row>
    <row r="22" spans="8:8" x14ac:dyDescent="0.25">
      <c r="H22">
        <f>F22*G22</f>
      </c>
    </row>
    <row r="23" spans="8:8" x14ac:dyDescent="0.25">
      <c r="H23">
        <f>F23*G23</f>
      </c>
    </row>
    <row r="24" spans="8:8" x14ac:dyDescent="0.25">
      <c r="H24">
        <f>F24*G24</f>
      </c>
    </row>
    <row r="25" spans="8:8" x14ac:dyDescent="0.25">
      <c r="H25">
        <f>F25*G25</f>
      </c>
    </row>
    <row r="26" spans="1:11" x14ac:dyDescent="0.25">
      <c r="A26" t="s">
        <v>26</v>
      </c>
      <c r="B26">
        <f>SUM(H26:K26)</f>
      </c>
      <c r="H26">
        <f>SUM(H2:H25)</f>
      </c>
      <c r="I26">
        <f>SUM(I2:I25)</f>
      </c>
      <c r="K26">
        <f>SUM(K2:K25)</f>
      </c>
    </row>
    <row r="27" spans="1:2" x14ac:dyDescent="0.25">
      <c r="A27" t="s">
        <v>27</v>
      </c>
      <c r="B27">
        <f>SUM(B3:B5)</f>
      </c>
    </row>
    <row r="28" spans="1:2" x14ac:dyDescent="0.25">
      <c r="A28" t="s">
        <v>28</v>
      </c>
      <c r="B28">
        <f>(B27-B26)/B27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50</v>
      </c>
      <c r="F1" t="s">
        <v>51</v>
      </c>
    </row>
    <row r="2" spans="1:3" x14ac:dyDescent="0.25">
      <c r="A2" t="s">
        <v>52</v>
      </c>
      <c r="B2" t="s">
        <v>3</v>
      </c>
      <c r="C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26</vt:lpstr>
      <vt:lpstr>Sep 25</vt:lpstr>
      <vt:lpstr>Apr 25</vt:lpstr>
      <vt:lpstr>Balance</vt:lpstr>
      <vt:lpstr>T4a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2026-04-07T04:19:19Z</dcterms:created>
  <dcterms:modified xsi:type="dcterms:W3CDTF">2026-04-07T04:19:19Z</dcterms:modified>
</cp:coreProperties>
</file>